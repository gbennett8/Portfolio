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ldri\Downloads\"/>
    </mc:Choice>
  </mc:AlternateContent>
  <xr:revisionPtr revIDLastSave="0" documentId="13_ncr:1_{40046078-3666-4C1A-AB79-77FF8E1E3D97}" xr6:coauthVersionLast="47" xr6:coauthVersionMax="47" xr10:uidLastSave="{00000000-0000-0000-0000-000000000000}"/>
  <bookViews>
    <workbookView xWindow="-120" yWindow="-120" windowWidth="38640" windowHeight="21120" tabRatio="695" activeTab="3" xr2:uid="{00000000-000D-0000-FFFF-FFFF00000000}"/>
  </bookViews>
  <sheets>
    <sheet name="Cover Page" sheetId="13" r:id="rId1"/>
    <sheet name="1) NPV Comparison" sheetId="1" r:id="rId2"/>
    <sheet name="Sheet1" sheetId="14" r:id="rId3"/>
    <sheet name="2a), 4) Inputs" sheetId="2" r:id="rId4"/>
    <sheet name="2b) Schedules" sheetId="3" r:id="rId5"/>
    <sheet name="2c), 3) Cash Budgets, Y1-Y2" sheetId="4" r:id="rId6"/>
    <sheet name="2d) Cash Budgets, Y3-Y5" sheetId="5" r:id="rId7"/>
    <sheet name="2cd) Statements of Income Y1-Y5" sheetId="6" r:id="rId8"/>
    <sheet name="2e) Statements of FP, Y1-Y5" sheetId="7" r:id="rId9"/>
  </sheets>
  <definedNames>
    <definedName name="Annual_depreciation">'2a), 4) Inputs'!$E$20</definedName>
    <definedName name="Annual_salary_base_costs">'2a), 4) Inputs'!$E$37</definedName>
    <definedName name="Annual_salary_costs">'2a), 4) Inputs'!$E$36</definedName>
    <definedName name="Bank_rate">'2a), 4) Inputs'!$B$24</definedName>
    <definedName name="Capacity_per_trip">'2a), 4) Inputs'!$B$15</definedName>
    <definedName name="Carbon_offset">'2a), 4) Inputs'!$B$37</definedName>
    <definedName name="Carbon_offset_rate">'2a), 4) Inputs'!$B$26</definedName>
    <definedName name="Corporate_tax_rate">'2a), 4) Inputs'!$B$27</definedName>
    <definedName name="Daily_demand_LNG_Y2">'2b) Schedules'!$R$25</definedName>
    <definedName name="Days_in_year">'2a), 4) Inputs'!$B$6</definedName>
    <definedName name="Deferred_year">'2a), 4) Inputs'!$B$10</definedName>
    <definedName name="Depreciation_expense_Y1">'2a), 4) Inputs'!$E$20</definedName>
    <definedName name="Development_cost">'2a), 4) Inputs'!$B$18</definedName>
    <definedName name="Employee_contribution">'2a), 4) Inputs'!$E$39</definedName>
    <definedName name="Employer_contribution">'2a), 4) Inputs'!$E$40</definedName>
    <definedName name="First_year">'2a), 4) Inputs'!$B$5</definedName>
    <definedName name="Gas_demand_rate">'2a), 4) Inputs'!$B$25</definedName>
    <definedName name="General_maintenance">'2a), 4) Inputs'!$E$32</definedName>
    <definedName name="Heavy_fuel_oil">'2b) Schedules'!$R$26</definedName>
    <definedName name="Increment">'2a), 4) Inputs'!$B$9</definedName>
    <definedName name="Inflation_rate">'2a), 4) Inputs'!$B$23</definedName>
    <definedName name="Insurance_expense">'2a), 4) Inputs'!$E$29</definedName>
    <definedName name="Minimum_balance">'2a), 4) Inputs'!$B$19</definedName>
    <definedName name="Months_in_year">'2a), 4) Inputs'!$B$8</definedName>
    <definedName name="NPV__Rate_of_Financing">'1) NPV Comparison'!$B$15</definedName>
    <definedName name="NPV_Development_Time__Yr">'1) NPV Comparison'!$B$7</definedName>
    <definedName name="NPV_First_Year">'1) NPV Comparison'!$K$37</definedName>
    <definedName name="NPV_Gas_demand_rate">'1) NPV Comparison'!$B$16</definedName>
    <definedName name="NPV_Half_Year_Increment">'1) NPV Comparison'!$B$10</definedName>
    <definedName name="NPV_Increment">'1) NPV Comparison'!$B$8</definedName>
    <definedName name="NPV_LNG_Purchase_cost">'1) NPV Comparison'!$B$45</definedName>
    <definedName name="NPV_LNG_Selling_price">'1) NPV Comparison'!$B$46</definedName>
    <definedName name="NPV_Months_in_Year">'1) NPV Comparison'!$B$5</definedName>
    <definedName name="NPV_Rate_of_Inflation">'1) NPV Comparison'!$B$13</definedName>
    <definedName name="NPV_Rate_of_Inflation__Carbon_Offsets">'1) NPV Comparison'!$B$14</definedName>
    <definedName name="NPV_Weeks_in_Year">'1) NPV Comparison'!$B$6</definedName>
    <definedName name="NPV_Years_of_Operation">'1) NPV Comparison'!$B$9</definedName>
    <definedName name="Operating_expense">'2a), 4) Inputs'!$E$31</definedName>
    <definedName name="Pipeline_Carbon_Offsets__Paid_monthly_on_15th">'1) NPV Comparison'!$B$36</definedName>
    <definedName name="Pipeline_Development_cost">'1) NPV Comparison'!$B$19</definedName>
    <definedName name="Pipeline_Increment">'1) NPV Comparison'!$B$8</definedName>
    <definedName name="Pipeline_Purchase_Price_Y2">'1) NPV Comparison'!$B$25</definedName>
    <definedName name="Pipeline_Rate_of_increase_in_demand">'1) NPV Comparison'!$B$20</definedName>
    <definedName name="Pipeline_Sale_Price_Y2">'1) NPV Comparison'!$B$26</definedName>
    <definedName name="Pipeline_Sales_Y2">'1) NPV Comparison'!$B$24</definedName>
    <definedName name="Pipeline_Salvage_Value_Y31">'1) NPV Comparison'!$B$21</definedName>
    <definedName name="Pipeline_Total_annual_cost_Y2">'1) NPV Comparison'!$B$33</definedName>
    <definedName name="Port_Damage_Expense">'2a), 4) Inputs'!$B$42</definedName>
    <definedName name="Port_fee">'2a), 4) Inputs'!$E$30</definedName>
    <definedName name="Price_per_ton">'2a), 4) Inputs'!$B$32</definedName>
    <definedName name="Purchase_cost_LNG">'2a), 4) Inputs'!$E$25</definedName>
    <definedName name="Quantity_demand_Y1">'2a), 4) Inputs'!$E$6</definedName>
    <definedName name="Quantity_demand_Y2">'2a), 4) Inputs'!$E$24</definedName>
    <definedName name="Quantity_demanded_Y1">'2a), 4) Inputs'!$E$6</definedName>
    <definedName name="Salvage_value">'2a), 4) Inputs'!$B$17</definedName>
    <definedName name="Selling_price_LNG_Y2">'2a), 4) Inputs'!$E$26</definedName>
    <definedName name="Stores_and_lubricants">'2a), 4) Inputs'!$E$33</definedName>
    <definedName name="Tanker_Daily_demand_Y2">'1) NPV Comparison'!$B$44</definedName>
    <definedName name="Tanker_Development_Cost">'1) NPV Comparison'!$B$39</definedName>
    <definedName name="Tanker_Quantity_demanded_Y2">'1) NPV Comparison'!$B$43</definedName>
    <definedName name="Tanker_Salvage_Value_Y31">'1) NPV Comparison'!$B$40</definedName>
    <definedName name="Tanker_Total_Annual_Cost_Y2">'1) NPV Comparison'!$B$53</definedName>
    <definedName name="Tons_per_trip">'2a), 4) Inputs'!$B$33</definedName>
    <definedName name="Useful_life">'2a), 4) Inputs'!$B$16</definedName>
    <definedName name="Weeks_in_year">'2a), 4) Inputs'!$B$7</definedName>
    <definedName name="Y5_CO_Rate">'2a), 4) Inputs'!$B$43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IL5S9GS7duPD6Fb1ZZQEkIjibk2MvuujxIydSVdu/qw="/>
    </ext>
  </extLst>
</workbook>
</file>

<file path=xl/calcChain.xml><?xml version="1.0" encoding="utf-8"?>
<calcChain xmlns="http://schemas.openxmlformats.org/spreadsheetml/2006/main">
  <c r="N13" i="2" l="1"/>
  <c r="B12" i="6"/>
  <c r="C12" i="6"/>
  <c r="D12" i="6"/>
  <c r="E12" i="6"/>
  <c r="F12" i="6"/>
  <c r="G12" i="6"/>
  <c r="H12" i="6"/>
  <c r="I12" i="6"/>
  <c r="J12" i="6"/>
  <c r="K12" i="6"/>
  <c r="L12" i="6"/>
  <c r="M12" i="6"/>
  <c r="B13" i="6"/>
  <c r="C13" i="6"/>
  <c r="D13" i="6"/>
  <c r="E13" i="6"/>
  <c r="F13" i="6"/>
  <c r="G13" i="6"/>
  <c r="H13" i="6"/>
  <c r="I13" i="6"/>
  <c r="J13" i="6"/>
  <c r="K13" i="6"/>
  <c r="L13" i="6"/>
  <c r="M13" i="6"/>
  <c r="B14" i="6"/>
  <c r="C14" i="6"/>
  <c r="D14" i="6"/>
  <c r="E14" i="6"/>
  <c r="F14" i="6"/>
  <c r="G14" i="6"/>
  <c r="H14" i="6"/>
  <c r="I14" i="6"/>
  <c r="J14" i="6"/>
  <c r="K14" i="6"/>
  <c r="L14" i="6"/>
  <c r="M14" i="6"/>
  <c r="B15" i="6"/>
  <c r="C15" i="6"/>
  <c r="D15" i="6"/>
  <c r="E15" i="6"/>
  <c r="F15" i="6"/>
  <c r="G15" i="6"/>
  <c r="H15" i="6"/>
  <c r="I15" i="6"/>
  <c r="J15" i="6"/>
  <c r="K15" i="6"/>
  <c r="L15" i="6"/>
  <c r="M15" i="6"/>
  <c r="B16" i="6"/>
  <c r="C16" i="6"/>
  <c r="D16" i="6"/>
  <c r="E16" i="6"/>
  <c r="F16" i="6"/>
  <c r="G16" i="6"/>
  <c r="H16" i="6"/>
  <c r="I16" i="6"/>
  <c r="J16" i="6"/>
  <c r="K16" i="6"/>
  <c r="L16" i="6"/>
  <c r="M16" i="6"/>
  <c r="B17" i="6"/>
  <c r="C17" i="6"/>
  <c r="D17" i="6"/>
  <c r="E17" i="6"/>
  <c r="F17" i="6"/>
  <c r="G17" i="6"/>
  <c r="H17" i="6"/>
  <c r="I17" i="6"/>
  <c r="J17" i="6"/>
  <c r="K17" i="6"/>
  <c r="L17" i="6"/>
  <c r="M17" i="6"/>
  <c r="B18" i="6"/>
  <c r="C18" i="6"/>
  <c r="D18" i="6"/>
  <c r="E18" i="6"/>
  <c r="F18" i="6"/>
  <c r="G18" i="6"/>
  <c r="H18" i="6"/>
  <c r="I18" i="6"/>
  <c r="J18" i="6"/>
  <c r="K18" i="6"/>
  <c r="L18" i="6"/>
  <c r="M18" i="6"/>
  <c r="B19" i="6"/>
  <c r="C19" i="6"/>
  <c r="D19" i="6"/>
  <c r="E19" i="6"/>
  <c r="F19" i="6"/>
  <c r="G19" i="6"/>
  <c r="H19" i="6"/>
  <c r="I19" i="6"/>
  <c r="J19" i="6"/>
  <c r="K19" i="6"/>
  <c r="L19" i="6"/>
  <c r="M19" i="6"/>
  <c r="B20" i="6"/>
  <c r="C20" i="6"/>
  <c r="D20" i="6"/>
  <c r="E20" i="6"/>
  <c r="F20" i="6"/>
  <c r="G20" i="6"/>
  <c r="H20" i="6"/>
  <c r="I20" i="6"/>
  <c r="J20" i="6"/>
  <c r="K20" i="6"/>
  <c r="L20" i="6"/>
  <c r="M20" i="6"/>
  <c r="B25" i="4"/>
  <c r="K25" i="4" s="1"/>
  <c r="B16" i="4"/>
  <c r="E37" i="2"/>
  <c r="D44" i="6" s="1"/>
  <c r="D18" i="4"/>
  <c r="B6" i="2"/>
  <c r="R25" i="3" s="1"/>
  <c r="I29" i="3" s="1"/>
  <c r="H7" i="1"/>
  <c r="N21" i="4"/>
  <c r="C21" i="4"/>
  <c r="D21" i="4"/>
  <c r="E21" i="4"/>
  <c r="F21" i="4"/>
  <c r="G21" i="4"/>
  <c r="H21" i="4"/>
  <c r="I21" i="4"/>
  <c r="J21" i="4"/>
  <c r="K21" i="4"/>
  <c r="L21" i="4"/>
  <c r="M21" i="4"/>
  <c r="B21" i="4"/>
  <c r="N7" i="3"/>
  <c r="N8" i="3" s="1"/>
  <c r="N9" i="3" s="1"/>
  <c r="N10" i="3" s="1"/>
  <c r="D41" i="6"/>
  <c r="B42" i="2"/>
  <c r="B27" i="5" s="1"/>
  <c r="C41" i="6"/>
  <c r="R14" i="3"/>
  <c r="R19" i="3"/>
  <c r="R21" i="3"/>
  <c r="R22" i="3"/>
  <c r="R23" i="3"/>
  <c r="Q19" i="3"/>
  <c r="Q20" i="3" s="1"/>
  <c r="Q21" i="3" s="1"/>
  <c r="Q22" i="3" s="1"/>
  <c r="Q23" i="3" s="1"/>
  <c r="R26" i="3"/>
  <c r="B22" i="4"/>
  <c r="H7" i="2"/>
  <c r="C21" i="7" s="1"/>
  <c r="H36" i="2"/>
  <c r="H9" i="2"/>
  <c r="E21" i="7" s="1"/>
  <c r="H8" i="2"/>
  <c r="D23" i="7" s="1"/>
  <c r="H10" i="2"/>
  <c r="F23" i="7" s="1"/>
  <c r="H11" i="2"/>
  <c r="H12" i="2"/>
  <c r="H13" i="2"/>
  <c r="H14" i="2"/>
  <c r="H15" i="2"/>
  <c r="H16" i="2"/>
  <c r="H17" i="2"/>
  <c r="H18" i="2"/>
  <c r="H19" i="2"/>
  <c r="H20" i="2"/>
  <c r="H21" i="2"/>
  <c r="H22" i="2"/>
  <c r="H23" i="2"/>
  <c r="H24" i="2"/>
  <c r="H25" i="2"/>
  <c r="H26" i="2"/>
  <c r="H27" i="2"/>
  <c r="H28" i="2"/>
  <c r="H29" i="2"/>
  <c r="H30" i="2"/>
  <c r="H31" i="2"/>
  <c r="H32" i="2"/>
  <c r="H33" i="2"/>
  <c r="H34" i="2"/>
  <c r="H35" i="2"/>
  <c r="R20" i="3"/>
  <c r="N25" i="6" s="1"/>
  <c r="N16" i="4"/>
  <c r="N27" i="4"/>
  <c r="K6" i="1"/>
  <c r="B101" i="1"/>
  <c r="C101" i="1" s="1"/>
  <c r="B63" i="1"/>
  <c r="B53" i="1"/>
  <c r="H6" i="1"/>
  <c r="B67" i="1"/>
  <c r="S14" i="3"/>
  <c r="T14" i="3"/>
  <c r="R15" i="3"/>
  <c r="S15" i="3"/>
  <c r="T15" i="3"/>
  <c r="B20" i="7"/>
  <c r="B10" i="2"/>
  <c r="B9" i="7"/>
  <c r="B22" i="7"/>
  <c r="B23" i="7"/>
  <c r="B21" i="7"/>
  <c r="B24" i="7"/>
  <c r="F12" i="7"/>
  <c r="E12" i="7"/>
  <c r="D12" i="7"/>
  <c r="C12" i="7"/>
  <c r="B12" i="7"/>
  <c r="C25" i="6"/>
  <c r="N19" i="4"/>
  <c r="N23" i="4"/>
  <c r="B11" i="4"/>
  <c r="B7" i="4"/>
  <c r="N18" i="6"/>
  <c r="Y18" i="6"/>
  <c r="O18" i="6"/>
  <c r="P18" i="6"/>
  <c r="Q18" i="6"/>
  <c r="R18" i="6"/>
  <c r="S18" i="6"/>
  <c r="T18" i="6"/>
  <c r="U18" i="6"/>
  <c r="V18" i="6"/>
  <c r="W18" i="6"/>
  <c r="X18" i="6"/>
  <c r="J21" i="6" l="1"/>
  <c r="B21" i="6"/>
  <c r="K21" i="6"/>
  <c r="I21" i="6"/>
  <c r="G21" i="6"/>
  <c r="D21" i="6"/>
  <c r="C21" i="6"/>
  <c r="H21" i="6"/>
  <c r="M21" i="6"/>
  <c r="L21" i="6"/>
  <c r="E21" i="6"/>
  <c r="F21" i="6"/>
  <c r="D25" i="4"/>
  <c r="J25" i="4"/>
  <c r="I25" i="4"/>
  <c r="G25" i="4"/>
  <c r="E25" i="4"/>
  <c r="C25" i="4"/>
  <c r="L25" i="4"/>
  <c r="H25" i="4"/>
  <c r="F25" i="4"/>
  <c r="M25" i="4"/>
  <c r="B44" i="1"/>
  <c r="B50" i="6"/>
  <c r="B13" i="7"/>
  <c r="B14" i="7" s="1"/>
  <c r="D21" i="7"/>
  <c r="N7" i="6"/>
  <c r="N8" i="6"/>
  <c r="C9" i="7"/>
  <c r="N13" i="6"/>
  <c r="W15" i="6"/>
  <c r="Y15" i="6"/>
  <c r="V15" i="6"/>
  <c r="T15" i="6"/>
  <c r="S15" i="6"/>
  <c r="X15" i="6"/>
  <c r="U15" i="6"/>
  <c r="R15" i="6"/>
  <c r="Q15" i="6"/>
  <c r="N15" i="6"/>
  <c r="P15" i="6"/>
  <c r="O15" i="6"/>
  <c r="B44" i="6"/>
  <c r="C44" i="6"/>
  <c r="E22" i="7"/>
  <c r="E23" i="7"/>
  <c r="C23" i="7"/>
  <c r="F22" i="7"/>
  <c r="Y7" i="6"/>
  <c r="F21" i="7"/>
  <c r="P8" i="6"/>
  <c r="D22" i="7"/>
  <c r="X7" i="6"/>
  <c r="T7" i="6"/>
  <c r="W8" i="6"/>
  <c r="C22" i="7"/>
  <c r="I16" i="3"/>
  <c r="V7" i="6"/>
  <c r="I30" i="3"/>
  <c r="U7" i="6"/>
  <c r="E9" i="7"/>
  <c r="F9" i="7"/>
  <c r="X8" i="6"/>
  <c r="D20" i="7"/>
  <c r="E20" i="7"/>
  <c r="V8" i="6"/>
  <c r="Q8" i="6"/>
  <c r="I28" i="3"/>
  <c r="S7" i="6"/>
  <c r="O8" i="6"/>
  <c r="Q7" i="6"/>
  <c r="Y8" i="6"/>
  <c r="I31" i="3"/>
  <c r="C20" i="7"/>
  <c r="W7" i="6"/>
  <c r="R8" i="6"/>
  <c r="I32" i="3"/>
  <c r="D9" i="7"/>
  <c r="O7" i="6"/>
  <c r="R7" i="6"/>
  <c r="U8" i="6"/>
  <c r="I35" i="3"/>
  <c r="I27" i="3"/>
  <c r="F20" i="7"/>
  <c r="T8" i="6"/>
  <c r="I34" i="3"/>
  <c r="I26" i="3"/>
  <c r="I24" i="3"/>
  <c r="J24" i="3" s="1"/>
  <c r="P7" i="6"/>
  <c r="S8" i="6"/>
  <c r="I33" i="3"/>
  <c r="I25" i="3"/>
  <c r="C67" i="1"/>
  <c r="N9" i="6" l="1"/>
  <c r="N11" i="4"/>
  <c r="N12" i="4" s="1"/>
  <c r="E67" i="1"/>
  <c r="F67" i="1" s="1"/>
  <c r="B68" i="1" s="1"/>
  <c r="F101" i="1"/>
  <c r="B102" i="1" s="1"/>
  <c r="C102" i="1" s="1"/>
  <c r="E101" i="1"/>
  <c r="C7" i="6"/>
  <c r="M8" i="6"/>
  <c r="L8" i="6"/>
  <c r="K8" i="6"/>
  <c r="J8" i="6"/>
  <c r="I8" i="6"/>
  <c r="H8" i="6"/>
  <c r="G8" i="6"/>
  <c r="F8" i="6"/>
  <c r="E8" i="6"/>
  <c r="D8" i="6"/>
  <c r="C8" i="6"/>
  <c r="B8" i="6"/>
  <c r="D7" i="6"/>
  <c r="E7" i="6"/>
  <c r="F7" i="6"/>
  <c r="G7" i="6"/>
  <c r="H7" i="6"/>
  <c r="I7" i="6"/>
  <c r="J7" i="6"/>
  <c r="K7" i="6"/>
  <c r="L7" i="6"/>
  <c r="M7" i="6"/>
  <c r="B7" i="6"/>
  <c r="D68" i="1" l="1"/>
  <c r="C68" i="1"/>
  <c r="D102" i="1"/>
  <c r="K7" i="1" s="1"/>
  <c r="C11" i="4"/>
  <c r="D11" i="4"/>
  <c r="E11" i="4"/>
  <c r="F11" i="4"/>
  <c r="G11" i="4"/>
  <c r="H11" i="4"/>
  <c r="I11" i="4"/>
  <c r="J11" i="4"/>
  <c r="K11" i="4"/>
  <c r="L11" i="4"/>
  <c r="M11" i="4"/>
  <c r="D103" i="1" l="1"/>
  <c r="K8" i="1" s="1"/>
  <c r="E102" i="1"/>
  <c r="F102" i="1" s="1"/>
  <c r="B103" i="1" s="1"/>
  <c r="C103" i="1" s="1"/>
  <c r="C16" i="4"/>
  <c r="D16" i="4"/>
  <c r="E16" i="4"/>
  <c r="F16" i="4"/>
  <c r="G16" i="4"/>
  <c r="H16" i="4"/>
  <c r="I16" i="4"/>
  <c r="J16" i="4"/>
  <c r="K16" i="4"/>
  <c r="L16" i="4"/>
  <c r="M16" i="4"/>
  <c r="C18" i="4"/>
  <c r="E18" i="4"/>
  <c r="F18" i="4"/>
  <c r="G18" i="4"/>
  <c r="H18" i="4"/>
  <c r="I18" i="4"/>
  <c r="J18" i="4"/>
  <c r="K18" i="4"/>
  <c r="L18" i="4"/>
  <c r="M18" i="4"/>
  <c r="B18" i="4"/>
  <c r="C24" i="4"/>
  <c r="D24" i="4"/>
  <c r="E24" i="4"/>
  <c r="F24" i="4"/>
  <c r="G24" i="4"/>
  <c r="H24" i="4"/>
  <c r="I24" i="4"/>
  <c r="J24" i="4"/>
  <c r="K24" i="4"/>
  <c r="L24" i="4"/>
  <c r="M24" i="4"/>
  <c r="B24" i="4"/>
  <c r="C23" i="4"/>
  <c r="D23" i="4"/>
  <c r="E23" i="4"/>
  <c r="F23" i="4"/>
  <c r="G23" i="4"/>
  <c r="H23" i="4"/>
  <c r="I23" i="4"/>
  <c r="J23" i="4"/>
  <c r="K23" i="4"/>
  <c r="L23" i="4"/>
  <c r="M23" i="4"/>
  <c r="B23" i="4"/>
  <c r="C19" i="4"/>
  <c r="D19" i="4"/>
  <c r="E19" i="4"/>
  <c r="F19" i="4"/>
  <c r="G19" i="4"/>
  <c r="H19" i="4"/>
  <c r="I19" i="4"/>
  <c r="J19" i="4"/>
  <c r="K19" i="4"/>
  <c r="L19" i="4"/>
  <c r="M19" i="4"/>
  <c r="B19" i="4"/>
  <c r="C27" i="4"/>
  <c r="D27" i="4"/>
  <c r="E27" i="4"/>
  <c r="F27" i="4"/>
  <c r="G27" i="4"/>
  <c r="H27" i="4"/>
  <c r="I27" i="4"/>
  <c r="J27" i="4"/>
  <c r="K27" i="4"/>
  <c r="L27" i="4"/>
  <c r="M27" i="4"/>
  <c r="B27" i="4"/>
  <c r="C22" i="4"/>
  <c r="D22" i="4"/>
  <c r="E22" i="4"/>
  <c r="F22" i="4"/>
  <c r="G22" i="4"/>
  <c r="H22" i="4"/>
  <c r="I22" i="4"/>
  <c r="J22" i="4"/>
  <c r="K22" i="4"/>
  <c r="L22" i="4"/>
  <c r="M22" i="4"/>
  <c r="B6" i="3"/>
  <c r="O19" i="6"/>
  <c r="P19" i="6"/>
  <c r="Q19" i="6"/>
  <c r="R19" i="6"/>
  <c r="S19" i="6"/>
  <c r="T19" i="6"/>
  <c r="U19" i="6"/>
  <c r="V19" i="6"/>
  <c r="W19" i="6"/>
  <c r="X19" i="6"/>
  <c r="Y19" i="6"/>
  <c r="N19" i="6"/>
  <c r="D25" i="6"/>
  <c r="E25" i="6"/>
  <c r="F25" i="6"/>
  <c r="G25" i="6"/>
  <c r="H25" i="6"/>
  <c r="I25" i="6"/>
  <c r="J25" i="6"/>
  <c r="K25" i="6"/>
  <c r="L25" i="6"/>
  <c r="M25" i="6"/>
  <c r="B25" i="6"/>
  <c r="D37" i="6"/>
  <c r="C37" i="6"/>
  <c r="B37" i="6"/>
  <c r="D36" i="6"/>
  <c r="C36" i="6"/>
  <c r="B36" i="6"/>
  <c r="D48" i="6"/>
  <c r="C48" i="6"/>
  <c r="B48" i="6"/>
  <c r="B41" i="6"/>
  <c r="D46" i="6"/>
  <c r="C46" i="6"/>
  <c r="B46" i="6"/>
  <c r="D45" i="6"/>
  <c r="C45" i="6"/>
  <c r="B45" i="6"/>
  <c r="D43" i="6"/>
  <c r="C43" i="6"/>
  <c r="B43" i="6"/>
  <c r="D42" i="6"/>
  <c r="C42" i="6"/>
  <c r="B42" i="6"/>
  <c r="O12" i="6"/>
  <c r="P12" i="6"/>
  <c r="Q12" i="6"/>
  <c r="R12" i="6"/>
  <c r="S12" i="6"/>
  <c r="T12" i="6"/>
  <c r="U12" i="6"/>
  <c r="V12" i="6"/>
  <c r="W12" i="6"/>
  <c r="X12" i="6"/>
  <c r="Y12" i="6"/>
  <c r="O17" i="6"/>
  <c r="P17" i="6"/>
  <c r="Q17" i="6"/>
  <c r="R17" i="6"/>
  <c r="S17" i="6"/>
  <c r="T17" i="6"/>
  <c r="U17" i="6"/>
  <c r="V17" i="6"/>
  <c r="W17" i="6"/>
  <c r="X17" i="6"/>
  <c r="Y17" i="6"/>
  <c r="O16" i="6"/>
  <c r="P16" i="6"/>
  <c r="Q16" i="6"/>
  <c r="R16" i="6"/>
  <c r="S16" i="6"/>
  <c r="T16" i="6"/>
  <c r="U16" i="6"/>
  <c r="V16" i="6"/>
  <c r="W16" i="6"/>
  <c r="X16" i="6"/>
  <c r="Y16" i="6"/>
  <c r="N12" i="6"/>
  <c r="N17" i="6"/>
  <c r="N16" i="6"/>
  <c r="O14" i="6"/>
  <c r="P14" i="6"/>
  <c r="Q14" i="6"/>
  <c r="R14" i="6"/>
  <c r="S14" i="6"/>
  <c r="T14" i="6"/>
  <c r="U14" i="6"/>
  <c r="V14" i="6"/>
  <c r="W14" i="6"/>
  <c r="X14" i="6"/>
  <c r="Y14" i="6"/>
  <c r="N14" i="6"/>
  <c r="O13" i="6"/>
  <c r="P13" i="6"/>
  <c r="Q13" i="6"/>
  <c r="R13" i="6"/>
  <c r="S13" i="6"/>
  <c r="T13" i="6"/>
  <c r="U13" i="6"/>
  <c r="V13" i="6"/>
  <c r="W13" i="6"/>
  <c r="X13" i="6"/>
  <c r="Y13" i="6"/>
  <c r="S24" i="4"/>
  <c r="T24" i="4"/>
  <c r="U24" i="4"/>
  <c r="V24" i="4"/>
  <c r="W24" i="4"/>
  <c r="X24" i="4"/>
  <c r="Y24" i="4"/>
  <c r="R24" i="4"/>
  <c r="Q24" i="4"/>
  <c r="P24" i="4"/>
  <c r="O24" i="4"/>
  <c r="N24" i="4"/>
  <c r="H15" i="3"/>
  <c r="M7" i="3"/>
  <c r="M8" i="3" s="1"/>
  <c r="M9" i="3" s="1"/>
  <c r="M10" i="3" s="1"/>
  <c r="H6" i="3"/>
  <c r="Q6" i="3"/>
  <c r="A6" i="3"/>
  <c r="A7" i="3" s="1"/>
  <c r="D38" i="6" l="1"/>
  <c r="H7" i="3"/>
  <c r="H16" i="3"/>
  <c r="K16" i="3" s="1"/>
  <c r="A8" i="3"/>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B38" i="6"/>
  <c r="C38" i="6"/>
  <c r="H8" i="3"/>
  <c r="H9" i="3" s="1"/>
  <c r="H10" i="3" s="1"/>
  <c r="C6" i="3"/>
  <c r="J16" i="3"/>
  <c r="L16" i="3"/>
  <c r="D104" i="1"/>
  <c r="K9" i="1" s="1"/>
  <c r="E103" i="1"/>
  <c r="F103" i="1" s="1"/>
  <c r="B104" i="1" s="1"/>
  <c r="C104" i="1" s="1"/>
  <c r="F13" i="7"/>
  <c r="F14" i="7" s="1"/>
  <c r="D13" i="7"/>
  <c r="D14" i="7" s="1"/>
  <c r="C13" i="7"/>
  <c r="C14" i="7" s="1"/>
  <c r="E13" i="7"/>
  <c r="E14" i="7" s="1"/>
  <c r="C55" i="6"/>
  <c r="T25" i="6"/>
  <c r="V25" i="6"/>
  <c r="O25" i="6"/>
  <c r="P25" i="6"/>
  <c r="Q25" i="6"/>
  <c r="Y25" i="6"/>
  <c r="R25" i="6"/>
  <c r="W25" i="6"/>
  <c r="X25" i="6"/>
  <c r="S25" i="6"/>
  <c r="U25" i="6"/>
  <c r="Q7" i="3"/>
  <c r="S7" i="3" s="1"/>
  <c r="H17" i="3"/>
  <c r="J20" i="4"/>
  <c r="C20" i="4"/>
  <c r="K20" i="4"/>
  <c r="B20" i="4"/>
  <c r="H20" i="4"/>
  <c r="D20" i="4"/>
  <c r="L20" i="4"/>
  <c r="E20" i="4"/>
  <c r="M20" i="4"/>
  <c r="G20" i="4"/>
  <c r="I20" i="4"/>
  <c r="F20" i="4"/>
  <c r="B55" i="6"/>
  <c r="D55" i="6"/>
  <c r="C9" i="6"/>
  <c r="C23" i="6" s="1"/>
  <c r="D17" i="5" l="1"/>
  <c r="C23" i="5"/>
  <c r="D23" i="5"/>
  <c r="B23" i="5"/>
  <c r="B17" i="5"/>
  <c r="C17" i="5"/>
  <c r="Q8" i="3"/>
  <c r="S8" i="3" s="1"/>
  <c r="E104" i="1"/>
  <c r="F104" i="1" s="1"/>
  <c r="B105" i="1" s="1"/>
  <c r="C105" i="1" s="1"/>
  <c r="D105" i="1"/>
  <c r="K10" i="1" s="1"/>
  <c r="O19" i="4"/>
  <c r="R7" i="3"/>
  <c r="H18" i="3"/>
  <c r="K17" i="3"/>
  <c r="L17" i="3"/>
  <c r="B20" i="5" s="1"/>
  <c r="X9" i="6"/>
  <c r="F9" i="6"/>
  <c r="F23" i="6" s="1"/>
  <c r="W9" i="6"/>
  <c r="B9" i="6"/>
  <c r="B23" i="6" s="1"/>
  <c r="I9" i="6"/>
  <c r="I23" i="6" s="1"/>
  <c r="V9" i="6"/>
  <c r="R9" i="6"/>
  <c r="T9" i="6"/>
  <c r="E9" i="6"/>
  <c r="E23" i="6" s="1"/>
  <c r="O9" i="6"/>
  <c r="H9" i="6"/>
  <c r="H23" i="6" s="1"/>
  <c r="M9" i="6"/>
  <c r="M23" i="6" s="1"/>
  <c r="J9" i="6"/>
  <c r="J23" i="6" s="1"/>
  <c r="U9" i="6"/>
  <c r="P9" i="6"/>
  <c r="S9" i="6"/>
  <c r="L9" i="6"/>
  <c r="L23" i="6" s="1"/>
  <c r="D9" i="6"/>
  <c r="D23" i="6" s="1"/>
  <c r="K9" i="6"/>
  <c r="K23" i="6" s="1"/>
  <c r="Q9" i="6"/>
  <c r="G9" i="6"/>
  <c r="G23" i="6" s="1"/>
  <c r="Y9" i="6"/>
  <c r="B24" i="6"/>
  <c r="C15" i="4"/>
  <c r="D15" i="4"/>
  <c r="E15" i="4"/>
  <c r="F15" i="4"/>
  <c r="G15" i="4"/>
  <c r="H15" i="4"/>
  <c r="I15" i="4"/>
  <c r="J15" i="4"/>
  <c r="K15" i="4"/>
  <c r="L15" i="4"/>
  <c r="M15" i="4"/>
  <c r="B15" i="4"/>
  <c r="I17" i="3"/>
  <c r="J17" i="3" s="1"/>
  <c r="B25" i="5" s="1"/>
  <c r="I18" i="3"/>
  <c r="I19" i="3"/>
  <c r="B18" i="5" l="1"/>
  <c r="Q9" i="3"/>
  <c r="R8" i="3"/>
  <c r="D106" i="1"/>
  <c r="K11" i="1" s="1"/>
  <c r="E105" i="1"/>
  <c r="F105" i="1" s="1"/>
  <c r="B106" i="1" s="1"/>
  <c r="C106" i="1" s="1"/>
  <c r="T7" i="3"/>
  <c r="J18" i="3"/>
  <c r="C25" i="5" s="1"/>
  <c r="H19" i="3"/>
  <c r="J19" i="3" s="1"/>
  <c r="K18" i="3"/>
  <c r="L18" i="3"/>
  <c r="C20" i="5" s="1"/>
  <c r="E6" i="3"/>
  <c r="Y18" i="4"/>
  <c r="X18" i="4"/>
  <c r="W18" i="4"/>
  <c r="V18" i="4"/>
  <c r="U18" i="4"/>
  <c r="T18" i="4"/>
  <c r="S18" i="4"/>
  <c r="R18" i="4"/>
  <c r="Q18" i="4"/>
  <c r="P18" i="4"/>
  <c r="O18" i="4"/>
  <c r="N18" i="4"/>
  <c r="Y23" i="4"/>
  <c r="X23" i="4"/>
  <c r="W23" i="4"/>
  <c r="V23" i="4"/>
  <c r="U23" i="4"/>
  <c r="T23" i="4"/>
  <c r="S23" i="4"/>
  <c r="R23" i="4"/>
  <c r="Q23" i="4"/>
  <c r="P23" i="4"/>
  <c r="O23" i="4"/>
  <c r="L7" i="3"/>
  <c r="L8" i="3" s="1"/>
  <c r="N26" i="4"/>
  <c r="B33" i="1"/>
  <c r="B10" i="5" l="1" a="1"/>
  <c r="B10" i="5" s="1"/>
  <c r="B11" i="5" s="1"/>
  <c r="Q10" i="3"/>
  <c r="S10" i="3" s="1"/>
  <c r="D25" i="5"/>
  <c r="R9" i="3"/>
  <c r="C10" i="5" s="1"/>
  <c r="S9" i="3"/>
  <c r="C15" i="5" s="1"/>
  <c r="C18" i="5"/>
  <c r="L9" i="3"/>
  <c r="C22" i="5" s="1"/>
  <c r="B22" i="5"/>
  <c r="E106" i="1"/>
  <c r="F106" i="1" s="1"/>
  <c r="B107" i="1" s="1"/>
  <c r="C107" i="1" s="1"/>
  <c r="D107" i="1"/>
  <c r="K12" i="1" s="1"/>
  <c r="E68" i="1"/>
  <c r="F68" i="1" s="1"/>
  <c r="B69" i="1" s="1"/>
  <c r="C69" i="1" s="1"/>
  <c r="D69" i="1"/>
  <c r="R10" i="3"/>
  <c r="L19" i="3"/>
  <c r="D20" i="5" s="1"/>
  <c r="K19" i="3"/>
  <c r="C26" i="4"/>
  <c r="K26" i="4"/>
  <c r="D26" i="4"/>
  <c r="L26" i="4"/>
  <c r="E26" i="4"/>
  <c r="M26" i="4"/>
  <c r="H26" i="4"/>
  <c r="I26" i="4"/>
  <c r="F26" i="4"/>
  <c r="G26" i="4"/>
  <c r="B26" i="4"/>
  <c r="J26" i="4"/>
  <c r="V21" i="4"/>
  <c r="K24" i="6"/>
  <c r="K27" i="6" s="1"/>
  <c r="C24" i="6"/>
  <c r="C27" i="6" s="1"/>
  <c r="J24" i="6"/>
  <c r="J27" i="6" s="1"/>
  <c r="B27" i="6"/>
  <c r="B28" i="6" s="1"/>
  <c r="I24" i="6"/>
  <c r="I27" i="6" s="1"/>
  <c r="H24" i="6"/>
  <c r="H27" i="6" s="1"/>
  <c r="G24" i="6"/>
  <c r="G27" i="6" s="1"/>
  <c r="L24" i="6"/>
  <c r="L27" i="6" s="1"/>
  <c r="D24" i="6"/>
  <c r="D27" i="6" s="1"/>
  <c r="F24" i="6"/>
  <c r="F27" i="6" s="1"/>
  <c r="F6" i="3"/>
  <c r="M24" i="6"/>
  <c r="M27" i="6" s="1"/>
  <c r="E24" i="6"/>
  <c r="E27" i="6" s="1"/>
  <c r="B30" i="6" l="1"/>
  <c r="B28" i="4"/>
  <c r="B29" i="4" s="1"/>
  <c r="D10" i="5"/>
  <c r="D15" i="5"/>
  <c r="L10" i="3"/>
  <c r="D22" i="5" s="1"/>
  <c r="D108" i="1"/>
  <c r="K13" i="1" s="1"/>
  <c r="E107" i="1"/>
  <c r="F107" i="1" s="1"/>
  <c r="B108" i="1" s="1"/>
  <c r="C108" i="1" s="1"/>
  <c r="D70" i="1"/>
  <c r="H8" i="1"/>
  <c r="B7" i="3"/>
  <c r="D7" i="3" s="1"/>
  <c r="B19" i="7"/>
  <c r="B25" i="7" s="1"/>
  <c r="E69" i="1"/>
  <c r="F69" i="1" s="1"/>
  <c r="B70" i="1" s="1"/>
  <c r="C70" i="1" s="1"/>
  <c r="K33" i="3"/>
  <c r="J33" i="3"/>
  <c r="J31" i="3"/>
  <c r="K31" i="3"/>
  <c r="J29" i="3"/>
  <c r="K29" i="3"/>
  <c r="K28" i="3"/>
  <c r="J28" i="3"/>
  <c r="K35" i="3"/>
  <c r="J35" i="3"/>
  <c r="J32" i="3"/>
  <c r="K32" i="3"/>
  <c r="J27" i="3"/>
  <c r="K27" i="3"/>
  <c r="K26" i="3"/>
  <c r="J26" i="3"/>
  <c r="K25" i="3"/>
  <c r="J25" i="3"/>
  <c r="J34" i="3"/>
  <c r="K34" i="3"/>
  <c r="K30" i="3"/>
  <c r="J30" i="3"/>
  <c r="K24" i="3"/>
  <c r="T9" i="3"/>
  <c r="X21" i="4"/>
  <c r="Y21" i="4"/>
  <c r="W21" i="4"/>
  <c r="Q21" i="4"/>
  <c r="R21" i="4"/>
  <c r="U21" i="4"/>
  <c r="O21" i="4"/>
  <c r="T21" i="4"/>
  <c r="P21" i="4"/>
  <c r="S21" i="4"/>
  <c r="Q26" i="4"/>
  <c r="P26" i="4"/>
  <c r="R26" i="4"/>
  <c r="W26" i="4"/>
  <c r="O26" i="4"/>
  <c r="S26" i="4"/>
  <c r="T26" i="4"/>
  <c r="V26" i="4"/>
  <c r="U26" i="4"/>
  <c r="X26" i="4"/>
  <c r="Y26" i="4"/>
  <c r="H28" i="6"/>
  <c r="H28" i="4" s="1"/>
  <c r="G28" i="6"/>
  <c r="G28" i="4" s="1"/>
  <c r="C28" i="6"/>
  <c r="C28" i="4" s="1"/>
  <c r="E28" i="6"/>
  <c r="E28" i="4" s="1"/>
  <c r="I28" i="6"/>
  <c r="I28" i="4" s="1"/>
  <c r="D28" i="6"/>
  <c r="D28" i="4" s="1"/>
  <c r="M28" i="6"/>
  <c r="M28" i="4" s="1"/>
  <c r="F28" i="6"/>
  <c r="F28" i="4" s="1"/>
  <c r="B32" i="6"/>
  <c r="U19" i="4"/>
  <c r="T19" i="4"/>
  <c r="R19" i="4"/>
  <c r="Y19" i="4"/>
  <c r="Q19" i="4"/>
  <c r="P19" i="4"/>
  <c r="S19" i="4"/>
  <c r="W19" i="4"/>
  <c r="X19" i="4"/>
  <c r="V19" i="4"/>
  <c r="L28" i="6"/>
  <c r="L28" i="4" s="1"/>
  <c r="J28" i="6"/>
  <c r="J28" i="4" s="1"/>
  <c r="M16" i="3"/>
  <c r="K28" i="6"/>
  <c r="K28" i="4" s="1"/>
  <c r="B10" i="4" l="1"/>
  <c r="B12" i="4" s="1"/>
  <c r="B31" i="4" s="1"/>
  <c r="I30" i="6"/>
  <c r="I29" i="4"/>
  <c r="G30" i="6"/>
  <c r="G29" i="4"/>
  <c r="H30" i="6"/>
  <c r="H29" i="4"/>
  <c r="D30" i="6"/>
  <c r="D29" i="4"/>
  <c r="J30" i="6"/>
  <c r="J29" i="4"/>
  <c r="E30" i="6"/>
  <c r="E29" i="4"/>
  <c r="C30" i="6"/>
  <c r="C32" i="6" s="1"/>
  <c r="C29" i="4"/>
  <c r="F30" i="6"/>
  <c r="F29" i="4"/>
  <c r="L30" i="6"/>
  <c r="L29" i="4"/>
  <c r="K30" i="6"/>
  <c r="K29" i="4"/>
  <c r="M30" i="6"/>
  <c r="M29" i="4"/>
  <c r="B15" i="5"/>
  <c r="Q16" i="4"/>
  <c r="R16" i="4"/>
  <c r="Q11" i="4"/>
  <c r="Q12" i="4" s="1"/>
  <c r="W16" i="4"/>
  <c r="V11" i="4"/>
  <c r="V12" i="4" s="1"/>
  <c r="R11" i="4"/>
  <c r="R12" i="4" s="1"/>
  <c r="X16" i="4"/>
  <c r="S11" i="4"/>
  <c r="S12" i="4" s="1"/>
  <c r="O16" i="4"/>
  <c r="T11" i="4"/>
  <c r="T12" i="4" s="1"/>
  <c r="X11" i="4"/>
  <c r="X12" i="4" s="1"/>
  <c r="Y11" i="4"/>
  <c r="Y12" i="4" s="1"/>
  <c r="U11" i="4"/>
  <c r="U12" i="4" s="1"/>
  <c r="T16" i="4"/>
  <c r="W11" i="4"/>
  <c r="W12" i="4" s="1"/>
  <c r="U16" i="4"/>
  <c r="P16" i="4"/>
  <c r="S16" i="4"/>
  <c r="V16" i="4"/>
  <c r="Y16" i="4"/>
  <c r="O11" i="4"/>
  <c r="O12" i="4" s="1"/>
  <c r="P11" i="4"/>
  <c r="P12" i="4" s="1"/>
  <c r="E108" i="1"/>
  <c r="F108" i="1" s="1"/>
  <c r="B109" i="1" s="1"/>
  <c r="C109" i="1" s="1"/>
  <c r="D109" i="1"/>
  <c r="K14" i="1" s="1"/>
  <c r="D71" i="1"/>
  <c r="H10" i="1" s="1"/>
  <c r="H9" i="1"/>
  <c r="C7" i="3"/>
  <c r="T24" i="6" s="1"/>
  <c r="L25" i="3"/>
  <c r="E70" i="1"/>
  <c r="F70" i="1" s="1"/>
  <c r="B71" i="1" s="1"/>
  <c r="C71" i="1" s="1"/>
  <c r="C11" i="5"/>
  <c r="M17" i="3"/>
  <c r="T8" i="3"/>
  <c r="L33" i="3"/>
  <c r="L24" i="3"/>
  <c r="L31" i="3"/>
  <c r="L27" i="3"/>
  <c r="L26" i="3"/>
  <c r="L35" i="3"/>
  <c r="L30" i="3"/>
  <c r="Y20" i="4"/>
  <c r="D8" i="3"/>
  <c r="L32" i="3"/>
  <c r="L28" i="3"/>
  <c r="L29" i="3"/>
  <c r="L34" i="3"/>
  <c r="D32" i="6" l="1"/>
  <c r="E32" i="6" s="1"/>
  <c r="F32" i="6" s="1"/>
  <c r="G32" i="6" s="1"/>
  <c r="H32" i="6" s="1"/>
  <c r="I32" i="6" s="1"/>
  <c r="J32" i="6" s="1"/>
  <c r="K32" i="6" s="1"/>
  <c r="L32" i="6" s="1"/>
  <c r="M32" i="6" s="1"/>
  <c r="B19" i="5"/>
  <c r="B32" i="4"/>
  <c r="C7" i="4" s="1"/>
  <c r="C10" i="4" s="1"/>
  <c r="C12" i="4" s="1"/>
  <c r="C31" i="4" s="1"/>
  <c r="C32" i="4" s="1"/>
  <c r="D7" i="4" s="1"/>
  <c r="D10" i="4" s="1"/>
  <c r="D12" i="4" s="1"/>
  <c r="D31" i="4" s="1"/>
  <c r="D32" i="4" s="1"/>
  <c r="E7" i="4" s="1"/>
  <c r="E10" i="4" s="1"/>
  <c r="D110" i="1"/>
  <c r="K15" i="1" s="1"/>
  <c r="E109" i="1"/>
  <c r="F109" i="1" s="1"/>
  <c r="B110" i="1" s="1"/>
  <c r="C110" i="1" s="1"/>
  <c r="D72" i="1"/>
  <c r="O24" i="6"/>
  <c r="P24" i="6"/>
  <c r="U24" i="6"/>
  <c r="R24" i="6"/>
  <c r="W24" i="6"/>
  <c r="N24" i="6"/>
  <c r="Q24" i="6"/>
  <c r="Y24" i="6"/>
  <c r="E7" i="3"/>
  <c r="F7" i="3" s="1"/>
  <c r="X24" i="6"/>
  <c r="S24" i="6"/>
  <c r="V24" i="6"/>
  <c r="E71" i="1"/>
  <c r="F71" i="1" s="1"/>
  <c r="B72" i="1" s="1"/>
  <c r="C72" i="1" s="1"/>
  <c r="O20" i="4"/>
  <c r="W20" i="4"/>
  <c r="T20" i="4"/>
  <c r="P20" i="4"/>
  <c r="X20" i="4"/>
  <c r="Q20" i="4"/>
  <c r="N20" i="4"/>
  <c r="U20" i="4"/>
  <c r="R20" i="4"/>
  <c r="V20" i="4"/>
  <c r="S20" i="4"/>
  <c r="T10" i="3"/>
  <c r="D11" i="5"/>
  <c r="M18" i="3"/>
  <c r="D9" i="3"/>
  <c r="C19" i="5" s="1"/>
  <c r="B27" i="7" l="1"/>
  <c r="B28" i="7" s="1"/>
  <c r="B29" i="7" s="1"/>
  <c r="B8" i="3"/>
  <c r="C8" i="3" s="1"/>
  <c r="B54" i="6" s="1"/>
  <c r="E110" i="1"/>
  <c r="F110" i="1" s="1"/>
  <c r="B111" i="1" s="1"/>
  <c r="C111" i="1" s="1"/>
  <c r="D111" i="1"/>
  <c r="K16" i="1" s="1"/>
  <c r="D73" i="1"/>
  <c r="H11" i="1"/>
  <c r="C19" i="7"/>
  <c r="E8" i="3"/>
  <c r="F8" i="3" s="1"/>
  <c r="E72" i="1"/>
  <c r="F72" i="1" s="1"/>
  <c r="B73" i="1" s="1"/>
  <c r="C73" i="1" s="1"/>
  <c r="E12" i="4"/>
  <c r="E31" i="4" s="1"/>
  <c r="E32" i="4" s="1"/>
  <c r="F7" i="4" s="1"/>
  <c r="D18" i="5"/>
  <c r="M19" i="3"/>
  <c r="D10" i="3"/>
  <c r="B9" i="3" l="1"/>
  <c r="C9" i="3" s="1"/>
  <c r="D19" i="5"/>
  <c r="D112" i="1"/>
  <c r="K17" i="1" s="1"/>
  <c r="E111" i="1"/>
  <c r="F111" i="1" s="1"/>
  <c r="B112" i="1" s="1"/>
  <c r="C112" i="1" s="1"/>
  <c r="D74" i="1"/>
  <c r="H12" i="1"/>
  <c r="D19" i="7"/>
  <c r="C54" i="6"/>
  <c r="E9" i="3"/>
  <c r="F9" i="3" s="1"/>
  <c r="E73" i="1"/>
  <c r="F73" i="1" s="1"/>
  <c r="B74" i="1" s="1"/>
  <c r="C74" i="1" s="1"/>
  <c r="F10" i="4"/>
  <c r="D11" i="3"/>
  <c r="B10" i="3" l="1"/>
  <c r="C10" i="3" s="1"/>
  <c r="D54" i="6" s="1"/>
  <c r="E112" i="1"/>
  <c r="F112" i="1" s="1"/>
  <c r="B113" i="1" s="1"/>
  <c r="C113" i="1" s="1"/>
  <c r="D113" i="1"/>
  <c r="K18" i="1" s="1"/>
  <c r="D75" i="1"/>
  <c r="H13" i="1"/>
  <c r="E19" i="7"/>
  <c r="E10" i="3"/>
  <c r="F10" i="3" s="1"/>
  <c r="E74" i="1"/>
  <c r="F74" i="1" s="1"/>
  <c r="B75" i="1" s="1"/>
  <c r="C75" i="1" s="1"/>
  <c r="F12" i="4"/>
  <c r="F31" i="4" s="1"/>
  <c r="F32" i="4" s="1"/>
  <c r="G7" i="4" s="1"/>
  <c r="G10" i="4" s="1"/>
  <c r="D12" i="3"/>
  <c r="B11" i="3" l="1"/>
  <c r="C11" i="3" s="1"/>
  <c r="E11" i="3" s="1"/>
  <c r="F11" i="3" s="1"/>
  <c r="B12" i="3" s="1"/>
  <c r="C12" i="3" s="1"/>
  <c r="D114" i="1"/>
  <c r="K19" i="1" s="1"/>
  <c r="E113" i="1"/>
  <c r="F113" i="1" s="1"/>
  <c r="B114" i="1" s="1"/>
  <c r="C114" i="1" s="1"/>
  <c r="D76" i="1"/>
  <c r="H14" i="1"/>
  <c r="F19" i="7"/>
  <c r="E75" i="1"/>
  <c r="F75" i="1" s="1"/>
  <c r="B76" i="1" s="1"/>
  <c r="C76" i="1" s="1"/>
  <c r="D13" i="3"/>
  <c r="E12" i="3"/>
  <c r="F12" i="3" s="1"/>
  <c r="B13" i="3" s="1"/>
  <c r="C13" i="3" s="1"/>
  <c r="E114" i="1" l="1"/>
  <c r="F114" i="1" s="1"/>
  <c r="B115" i="1" s="1"/>
  <c r="C115" i="1" s="1"/>
  <c r="D115" i="1"/>
  <c r="K20" i="1" s="1"/>
  <c r="D77" i="1"/>
  <c r="H15" i="1"/>
  <c r="E13" i="3"/>
  <c r="F13" i="3" s="1"/>
  <c r="B14" i="3" s="1"/>
  <c r="C14" i="3" s="1"/>
  <c r="E76" i="1"/>
  <c r="F76" i="1" s="1"/>
  <c r="B77" i="1" s="1"/>
  <c r="C77" i="1" s="1"/>
  <c r="G12" i="4"/>
  <c r="G31" i="4" s="1"/>
  <c r="G32" i="4" s="1"/>
  <c r="H7" i="4" s="1"/>
  <c r="D14" i="3"/>
  <c r="D116" i="1" l="1"/>
  <c r="K21" i="1" s="1"/>
  <c r="E115" i="1"/>
  <c r="F115" i="1" s="1"/>
  <c r="B116" i="1" s="1"/>
  <c r="C116" i="1" s="1"/>
  <c r="D78" i="1"/>
  <c r="H16" i="1"/>
  <c r="E77" i="1"/>
  <c r="F77" i="1" s="1"/>
  <c r="B78" i="1" s="1"/>
  <c r="C78" i="1" s="1"/>
  <c r="E14" i="3"/>
  <c r="F14" i="3" s="1"/>
  <c r="B15" i="3" s="1"/>
  <c r="C15" i="3" s="1"/>
  <c r="D15" i="3"/>
  <c r="H10" i="4"/>
  <c r="H12" i="4" s="1"/>
  <c r="H31" i="4" s="1"/>
  <c r="H32" i="4" s="1"/>
  <c r="I7" i="4" s="1"/>
  <c r="E116" i="1" l="1"/>
  <c r="F116" i="1" s="1"/>
  <c r="B117" i="1" s="1"/>
  <c r="C117" i="1" s="1"/>
  <c r="D117" i="1"/>
  <c r="K22" i="1" s="1"/>
  <c r="D79" i="1"/>
  <c r="H17" i="1"/>
  <c r="E78" i="1"/>
  <c r="F78" i="1" s="1"/>
  <c r="B79" i="1" s="1"/>
  <c r="C79" i="1" s="1"/>
  <c r="I10" i="4"/>
  <c r="I12" i="4" s="1"/>
  <c r="I31" i="4" s="1"/>
  <c r="I32" i="4" s="1"/>
  <c r="J7" i="4" s="1"/>
  <c r="D16" i="3"/>
  <c r="E15" i="3"/>
  <c r="F15" i="3" s="1"/>
  <c r="B16" i="3" s="1"/>
  <c r="C16" i="3" s="1"/>
  <c r="D118" i="1" l="1"/>
  <c r="K23" i="1" s="1"/>
  <c r="E117" i="1"/>
  <c r="F117" i="1" s="1"/>
  <c r="B118" i="1" s="1"/>
  <c r="C118" i="1" s="1"/>
  <c r="D80" i="1"/>
  <c r="H18" i="1"/>
  <c r="E79" i="1"/>
  <c r="F79" i="1" s="1"/>
  <c r="B80" i="1" s="1"/>
  <c r="C80" i="1" s="1"/>
  <c r="E16" i="3"/>
  <c r="F16" i="3" s="1"/>
  <c r="B17" i="3" s="1"/>
  <c r="C17" i="3" s="1"/>
  <c r="J10" i="4"/>
  <c r="J12" i="4" s="1"/>
  <c r="J31" i="4" s="1"/>
  <c r="J32" i="4" s="1"/>
  <c r="K7" i="4" s="1"/>
  <c r="D17" i="3"/>
  <c r="E118" i="1" l="1"/>
  <c r="F118" i="1" s="1"/>
  <c r="B119" i="1" s="1"/>
  <c r="C119" i="1" s="1"/>
  <c r="D119" i="1"/>
  <c r="K24" i="1" s="1"/>
  <c r="D81" i="1"/>
  <c r="H19" i="1"/>
  <c r="E80" i="1"/>
  <c r="F80" i="1" s="1"/>
  <c r="B81" i="1" s="1"/>
  <c r="C81" i="1" s="1"/>
  <c r="E17" i="3"/>
  <c r="F17" i="3" s="1"/>
  <c r="B18" i="3" s="1"/>
  <c r="C18" i="3" s="1"/>
  <c r="K10" i="4"/>
  <c r="K12" i="4" s="1"/>
  <c r="K31" i="4" s="1"/>
  <c r="K32" i="4" s="1"/>
  <c r="L7" i="4" s="1"/>
  <c r="D18" i="3"/>
  <c r="D120" i="1" l="1"/>
  <c r="K25" i="1" s="1"/>
  <c r="E119" i="1"/>
  <c r="F119" i="1" s="1"/>
  <c r="B120" i="1" s="1"/>
  <c r="C120" i="1" s="1"/>
  <c r="D82" i="1"/>
  <c r="H20" i="1"/>
  <c r="E81" i="1"/>
  <c r="F81" i="1" s="1"/>
  <c r="B82" i="1" s="1"/>
  <c r="C82" i="1" s="1"/>
  <c r="L10" i="4"/>
  <c r="L12" i="4" s="1"/>
  <c r="L31" i="4" s="1"/>
  <c r="L32" i="4" s="1"/>
  <c r="M7" i="4" s="1"/>
  <c r="D19" i="3"/>
  <c r="E18" i="3"/>
  <c r="F18" i="3" s="1"/>
  <c r="B19" i="3" s="1"/>
  <c r="C19" i="3" s="1"/>
  <c r="E120" i="1" l="1"/>
  <c r="F120" i="1" s="1"/>
  <c r="B121" i="1" s="1"/>
  <c r="C121" i="1" s="1"/>
  <c r="D121" i="1"/>
  <c r="K26" i="1" s="1"/>
  <c r="D83" i="1"/>
  <c r="H21" i="1"/>
  <c r="E82" i="1"/>
  <c r="F82" i="1" s="1"/>
  <c r="B83" i="1" s="1"/>
  <c r="C83" i="1" s="1"/>
  <c r="E19" i="3"/>
  <c r="F19" i="3" s="1"/>
  <c r="B20" i="3" s="1"/>
  <c r="C20" i="3" s="1"/>
  <c r="M10" i="4"/>
  <c r="D20" i="3"/>
  <c r="D122" i="1" l="1"/>
  <c r="K27" i="1" s="1"/>
  <c r="E121" i="1"/>
  <c r="F121" i="1" s="1"/>
  <c r="B122" i="1" s="1"/>
  <c r="C122" i="1" s="1"/>
  <c r="D84" i="1"/>
  <c r="H22" i="1"/>
  <c r="E83" i="1"/>
  <c r="F83" i="1" s="1"/>
  <c r="B84" i="1" s="1"/>
  <c r="C84" i="1" s="1"/>
  <c r="E20" i="3"/>
  <c r="F20" i="3" s="1"/>
  <c r="B21" i="3" s="1"/>
  <c r="C21" i="3" s="1"/>
  <c r="M12" i="4"/>
  <c r="M31" i="4" s="1"/>
  <c r="M32" i="4" s="1"/>
  <c r="D21" i="3"/>
  <c r="E122" i="1" l="1"/>
  <c r="F122" i="1" s="1"/>
  <c r="B123" i="1" s="1"/>
  <c r="C123" i="1" s="1"/>
  <c r="D123" i="1"/>
  <c r="K28" i="1" s="1"/>
  <c r="D85" i="1"/>
  <c r="H23" i="1"/>
  <c r="N7" i="4"/>
  <c r="B8" i="7"/>
  <c r="B10" i="7" s="1"/>
  <c r="E84" i="1"/>
  <c r="F84" i="1" s="1"/>
  <c r="B85" i="1" s="1"/>
  <c r="C85" i="1" s="1"/>
  <c r="E21" i="3"/>
  <c r="F21" i="3" s="1"/>
  <c r="B22" i="3" s="1"/>
  <c r="C22" i="3" s="1"/>
  <c r="D22" i="3"/>
  <c r="B15" i="7" l="1"/>
  <c r="B31" i="7" s="1"/>
  <c r="D124" i="1"/>
  <c r="K29" i="1" s="1"/>
  <c r="E123" i="1"/>
  <c r="F123" i="1" s="1"/>
  <c r="B124" i="1" s="1"/>
  <c r="C124" i="1" s="1"/>
  <c r="D86" i="1"/>
  <c r="H24" i="1"/>
  <c r="E85" i="1"/>
  <c r="F85" i="1" s="1"/>
  <c r="B86" i="1" s="1"/>
  <c r="C86" i="1" s="1"/>
  <c r="D23" i="3"/>
  <c r="E22" i="3"/>
  <c r="F22" i="3" s="1"/>
  <c r="B23" i="3" s="1"/>
  <c r="C23" i="3" s="1"/>
  <c r="E124" i="1" l="1"/>
  <c r="F124" i="1" s="1"/>
  <c r="B125" i="1" s="1"/>
  <c r="C125" i="1" s="1"/>
  <c r="D125" i="1"/>
  <c r="K30" i="1" s="1"/>
  <c r="D87" i="1"/>
  <c r="H25" i="1"/>
  <c r="E86" i="1"/>
  <c r="F86" i="1" s="1"/>
  <c r="B87" i="1" s="1"/>
  <c r="C87" i="1" s="1"/>
  <c r="E23" i="3"/>
  <c r="F23" i="3" s="1"/>
  <c r="B24" i="3" s="1"/>
  <c r="C24" i="3" s="1"/>
  <c r="D24" i="3"/>
  <c r="D126" i="1" l="1"/>
  <c r="K31" i="1" s="1"/>
  <c r="E125" i="1"/>
  <c r="F125" i="1" s="1"/>
  <c r="B126" i="1" s="1"/>
  <c r="C126" i="1" s="1"/>
  <c r="D88" i="1"/>
  <c r="H26" i="1"/>
  <c r="E87" i="1"/>
  <c r="F87" i="1" s="1"/>
  <c r="B88" i="1" s="1"/>
  <c r="C88" i="1" s="1"/>
  <c r="D25" i="3"/>
  <c r="E24" i="3"/>
  <c r="F24" i="3" s="1"/>
  <c r="B25" i="3" s="1"/>
  <c r="C25" i="3" s="1"/>
  <c r="E126" i="1" l="1"/>
  <c r="F126" i="1" s="1"/>
  <c r="B127" i="1" s="1"/>
  <c r="C127" i="1" s="1"/>
  <c r="D127" i="1"/>
  <c r="K32" i="1" s="1"/>
  <c r="D89" i="1"/>
  <c r="H27" i="1"/>
  <c r="E88" i="1"/>
  <c r="F88" i="1" s="1"/>
  <c r="B89" i="1" s="1"/>
  <c r="C89" i="1" s="1"/>
  <c r="E25" i="3"/>
  <c r="F25" i="3" s="1"/>
  <c r="B26" i="3" s="1"/>
  <c r="C26" i="3" s="1"/>
  <c r="D26" i="3"/>
  <c r="D128" i="1" l="1"/>
  <c r="K33" i="1" s="1"/>
  <c r="E127" i="1"/>
  <c r="F127" i="1" s="1"/>
  <c r="B128" i="1" s="1"/>
  <c r="C128" i="1" s="1"/>
  <c r="D90" i="1"/>
  <c r="H28" i="1"/>
  <c r="E89" i="1"/>
  <c r="F89" i="1" s="1"/>
  <c r="B90" i="1" s="1"/>
  <c r="C90" i="1" s="1"/>
  <c r="E26" i="3"/>
  <c r="F26" i="3" s="1"/>
  <c r="B27" i="3" s="1"/>
  <c r="C27" i="3" s="1"/>
  <c r="D27" i="3"/>
  <c r="E128" i="1" l="1"/>
  <c r="F128" i="1" s="1"/>
  <c r="B129" i="1" s="1"/>
  <c r="C129" i="1" s="1"/>
  <c r="D129" i="1"/>
  <c r="K34" i="1" s="1"/>
  <c r="D91" i="1"/>
  <c r="H29" i="1"/>
  <c r="E90" i="1"/>
  <c r="F90" i="1" s="1"/>
  <c r="B91" i="1" s="1"/>
  <c r="C91" i="1" s="1"/>
  <c r="D28" i="3"/>
  <c r="E27" i="3"/>
  <c r="F27" i="3" s="1"/>
  <c r="B28" i="3" s="1"/>
  <c r="C28" i="3" s="1"/>
  <c r="D130" i="1" l="1"/>
  <c r="K35" i="1" s="1"/>
  <c r="E129" i="1"/>
  <c r="F129" i="1" s="1"/>
  <c r="B130" i="1" s="1"/>
  <c r="C130" i="1" s="1"/>
  <c r="D92" i="1"/>
  <c r="H30" i="1"/>
  <c r="E91" i="1"/>
  <c r="F91" i="1" s="1"/>
  <c r="B92" i="1" s="1"/>
  <c r="C92" i="1" s="1"/>
  <c r="E28" i="3"/>
  <c r="F28" i="3" s="1"/>
  <c r="B29" i="3" s="1"/>
  <c r="C29" i="3" s="1"/>
  <c r="D29" i="3"/>
  <c r="E130" i="1" l="1"/>
  <c r="F130" i="1" s="1"/>
  <c r="B131" i="1" s="1"/>
  <c r="C131" i="1" s="1"/>
  <c r="D131" i="1"/>
  <c r="K36" i="1" s="1"/>
  <c r="K37" i="1" s="1"/>
  <c r="D93" i="1"/>
  <c r="H31" i="1"/>
  <c r="E92" i="1"/>
  <c r="F92" i="1" s="1"/>
  <c r="B93" i="1" s="1"/>
  <c r="C93" i="1" s="1"/>
  <c r="E29" i="3"/>
  <c r="F29" i="3" s="1"/>
  <c r="B30" i="3" s="1"/>
  <c r="C30" i="3" s="1"/>
  <c r="D30" i="3"/>
  <c r="E131" i="1" l="1"/>
  <c r="F131" i="1" s="1"/>
  <c r="D94" i="1"/>
  <c r="H32" i="1"/>
  <c r="E93" i="1"/>
  <c r="F93" i="1" s="1"/>
  <c r="B94" i="1" s="1"/>
  <c r="C94" i="1" s="1"/>
  <c r="D31" i="3"/>
  <c r="E30" i="3"/>
  <c r="F30" i="3" s="1"/>
  <c r="B31" i="3" s="1"/>
  <c r="C31" i="3" s="1"/>
  <c r="D95" i="1" l="1"/>
  <c r="H33" i="1"/>
  <c r="E94" i="1"/>
  <c r="F94" i="1" s="1"/>
  <c r="B95" i="1" s="1"/>
  <c r="C95" i="1" s="1"/>
  <c r="E31" i="3"/>
  <c r="F31" i="3" s="1"/>
  <c r="B32" i="3" s="1"/>
  <c r="C32" i="3" s="1"/>
  <c r="D32" i="3"/>
  <c r="D96" i="1" l="1"/>
  <c r="H34" i="1"/>
  <c r="E95" i="1"/>
  <c r="F95" i="1" s="1"/>
  <c r="B96" i="1" s="1"/>
  <c r="C96" i="1" s="1"/>
  <c r="E32" i="3"/>
  <c r="F32" i="3" s="1"/>
  <c r="B33" i="3" s="1"/>
  <c r="C33" i="3" s="1"/>
  <c r="D33" i="3"/>
  <c r="D97" i="1" l="1"/>
  <c r="H36" i="1" s="1"/>
  <c r="H35" i="1"/>
  <c r="E96" i="1"/>
  <c r="F96" i="1" s="1"/>
  <c r="B97" i="1" s="1"/>
  <c r="C97" i="1" s="1"/>
  <c r="E33" i="3"/>
  <c r="F33" i="3" s="1"/>
  <c r="B34" i="3" s="1"/>
  <c r="C34" i="3" s="1"/>
  <c r="D34" i="3"/>
  <c r="H37" i="1" l="1"/>
  <c r="E97" i="1"/>
  <c r="F97" i="1" s="1"/>
  <c r="E34" i="3"/>
  <c r="F34" i="3" s="1"/>
  <c r="B35" i="3" s="1"/>
  <c r="C35" i="3" s="1"/>
  <c r="D35" i="3"/>
  <c r="D36" i="3" l="1"/>
  <c r="E35" i="3"/>
  <c r="F35" i="3" s="1"/>
  <c r="B36" i="3" s="1"/>
  <c r="C36" i="3" s="1"/>
  <c r="E36" i="3" l="1"/>
  <c r="F36" i="3" s="1"/>
  <c r="N25" i="4" l="1"/>
  <c r="D47" i="6"/>
  <c r="B47" i="6"/>
  <c r="C47" i="6"/>
  <c r="I7" i="3"/>
  <c r="W25" i="4" l="1"/>
  <c r="I8" i="3"/>
  <c r="O25" i="4"/>
  <c r="T25" i="4"/>
  <c r="P25" i="4"/>
  <c r="X25" i="4"/>
  <c r="U25" i="4"/>
  <c r="Q25" i="4"/>
  <c r="S25" i="4"/>
  <c r="Y25" i="4"/>
  <c r="V25" i="4"/>
  <c r="R25" i="4"/>
  <c r="I9" i="3" l="1"/>
  <c r="B24" i="5"/>
  <c r="I10" i="3"/>
  <c r="C24" i="5"/>
  <c r="D24" i="5" l="1"/>
  <c r="E39" i="2" l="1"/>
  <c r="E40" i="2"/>
  <c r="J7" i="3"/>
  <c r="O27" i="4" l="1"/>
  <c r="N20" i="6"/>
  <c r="N21" i="6" s="1"/>
  <c r="N23" i="6" s="1"/>
  <c r="D26" i="5"/>
  <c r="C26" i="5"/>
  <c r="B26" i="5"/>
  <c r="C24" i="7"/>
  <c r="C25" i="7" s="1"/>
  <c r="B49" i="6"/>
  <c r="B51" i="6" s="1"/>
  <c r="B53" i="6" s="1"/>
  <c r="Y20" i="6"/>
  <c r="Y21" i="6" s="1"/>
  <c r="Y23" i="6" s="1"/>
  <c r="S20" i="6"/>
  <c r="S21" i="6" s="1"/>
  <c r="S23" i="6" s="1"/>
  <c r="P20" i="6"/>
  <c r="P21" i="6" s="1"/>
  <c r="P23" i="6" s="1"/>
  <c r="D49" i="6"/>
  <c r="D51" i="6" s="1"/>
  <c r="D53" i="6" s="1"/>
  <c r="W20" i="6"/>
  <c r="W21" i="6" s="1"/>
  <c r="W23" i="6" s="1"/>
  <c r="C49" i="6"/>
  <c r="C51" i="6" s="1"/>
  <c r="C53" i="6" s="1"/>
  <c r="R20" i="6"/>
  <c r="R21" i="6" s="1"/>
  <c r="R23" i="6" s="1"/>
  <c r="O20" i="6"/>
  <c r="O21" i="6" s="1"/>
  <c r="O23" i="6" s="1"/>
  <c r="T20" i="6"/>
  <c r="T21" i="6" s="1"/>
  <c r="T23" i="6" s="1"/>
  <c r="Q20" i="6"/>
  <c r="Q21" i="6" s="1"/>
  <c r="Q23" i="6" s="1"/>
  <c r="U20" i="6"/>
  <c r="U21" i="6" s="1"/>
  <c r="U23" i="6" s="1"/>
  <c r="V20" i="6"/>
  <c r="V21" i="6" s="1"/>
  <c r="V23" i="6" s="1"/>
  <c r="X20" i="6"/>
  <c r="X21" i="6" s="1"/>
  <c r="X23" i="6" s="1"/>
  <c r="K7" i="3"/>
  <c r="K8" i="3" s="1"/>
  <c r="F24" i="7"/>
  <c r="F25" i="7" s="1"/>
  <c r="E24" i="7"/>
  <c r="E25" i="7" s="1"/>
  <c r="D24" i="7"/>
  <c r="D25" i="7" s="1"/>
  <c r="P27" i="4"/>
  <c r="Q27" i="4"/>
  <c r="R27" i="4"/>
  <c r="S27" i="4"/>
  <c r="T27" i="4"/>
  <c r="U27" i="4"/>
  <c r="V27" i="4"/>
  <c r="W27" i="4"/>
  <c r="X27" i="4"/>
  <c r="Y27" i="4"/>
  <c r="E38" i="2"/>
  <c r="J8" i="3"/>
  <c r="B57" i="6" l="1"/>
  <c r="B58" i="6" s="1"/>
  <c r="D57" i="6"/>
  <c r="C57" i="6"/>
  <c r="D21" i="5"/>
  <c r="C21" i="5"/>
  <c r="B21" i="5"/>
  <c r="N22" i="4"/>
  <c r="K9" i="3"/>
  <c r="K10" i="3" s="1"/>
  <c r="W27" i="6"/>
  <c r="U22" i="4"/>
  <c r="Y22" i="4"/>
  <c r="V22" i="4"/>
  <c r="P22" i="4"/>
  <c r="X22" i="4"/>
  <c r="Q22" i="4"/>
  <c r="O22" i="4"/>
  <c r="S22" i="4"/>
  <c r="W22" i="4"/>
  <c r="R22" i="4"/>
  <c r="T22" i="4"/>
  <c r="O8" i="3"/>
  <c r="O7" i="3"/>
  <c r="Q27" i="6"/>
  <c r="P27" i="6"/>
  <c r="P28" i="6" s="1"/>
  <c r="P28" i="4" s="1"/>
  <c r="P29" i="4" s="1"/>
  <c r="U27" i="6"/>
  <c r="U28" i="6" s="1"/>
  <c r="U28" i="4" s="1"/>
  <c r="X27" i="6"/>
  <c r="N27" i="6"/>
  <c r="N28" i="6" s="1"/>
  <c r="N28" i="4" s="1"/>
  <c r="R27" i="6"/>
  <c r="R28" i="6" s="1"/>
  <c r="R28" i="4" s="1"/>
  <c r="O27" i="6"/>
  <c r="T27" i="6"/>
  <c r="V27" i="6"/>
  <c r="S27" i="6"/>
  <c r="Y27" i="6"/>
  <c r="Y28" i="6" s="1"/>
  <c r="Y28" i="4" s="1"/>
  <c r="J9" i="3"/>
  <c r="N29" i="4" l="1"/>
  <c r="N31" i="4" s="1"/>
  <c r="N32" i="4" s="1"/>
  <c r="O7" i="4" s="1"/>
  <c r="Y29" i="4"/>
  <c r="R29" i="4"/>
  <c r="U29" i="4"/>
  <c r="U31" i="4" s="1"/>
  <c r="R31" i="4"/>
  <c r="Y31" i="4"/>
  <c r="C58" i="6"/>
  <c r="C28" i="5" s="1"/>
  <c r="C29" i="5" s="1"/>
  <c r="C31" i="5" s="1"/>
  <c r="Q28" i="6"/>
  <c r="Q28" i="4" s="1"/>
  <c r="Q29" i="4" s="1"/>
  <c r="Q31" i="4" s="1"/>
  <c r="P31" i="4"/>
  <c r="W28" i="6"/>
  <c r="W28" i="4" s="1"/>
  <c r="W29" i="4" s="1"/>
  <c r="W31" i="4" s="1"/>
  <c r="T28" i="6"/>
  <c r="T28" i="4" s="1"/>
  <c r="T29" i="4" s="1"/>
  <c r="T31" i="4" s="1"/>
  <c r="O28" i="6"/>
  <c r="O28" i="4" s="1"/>
  <c r="O29" i="4" s="1"/>
  <c r="O31" i="4" s="1"/>
  <c r="X28" i="6"/>
  <c r="X28" i="4" s="1"/>
  <c r="X29" i="4" s="1"/>
  <c r="X31" i="4" s="1"/>
  <c r="D58" i="6"/>
  <c r="D28" i="5" s="1"/>
  <c r="D29" i="5" s="1"/>
  <c r="S28" i="6"/>
  <c r="S28" i="4" s="1"/>
  <c r="S29" i="4" s="1"/>
  <c r="S31" i="4" s="1"/>
  <c r="V28" i="6"/>
  <c r="V28" i="4" s="1"/>
  <c r="V29" i="4" s="1"/>
  <c r="V31" i="4" s="1"/>
  <c r="B60" i="6"/>
  <c r="B28" i="5"/>
  <c r="B29" i="5" s="1"/>
  <c r="B31" i="5" s="1"/>
  <c r="C60" i="6"/>
  <c r="D60" i="6"/>
  <c r="R30" i="6"/>
  <c r="Y30" i="6"/>
  <c r="U30" i="6"/>
  <c r="P30" i="6"/>
  <c r="J10" i="3"/>
  <c r="O9" i="3"/>
  <c r="O32" i="4" l="1"/>
  <c r="P7" i="4" s="1"/>
  <c r="P32" i="4" s="1"/>
  <c r="Q7" i="4" s="1"/>
  <c r="Q32" i="4" s="1"/>
  <c r="R7" i="4" s="1"/>
  <c r="R32" i="4" s="1"/>
  <c r="S7" i="4" s="1"/>
  <c r="S32" i="4" s="1"/>
  <c r="T7" i="4" s="1"/>
  <c r="T32" i="4" s="1"/>
  <c r="U7" i="4" s="1"/>
  <c r="U32" i="4" s="1"/>
  <c r="V7" i="4" s="1"/>
  <c r="V32" i="4" s="1"/>
  <c r="W7" i="4" s="1"/>
  <c r="W32" i="4" s="1"/>
  <c r="X7" i="4" s="1"/>
  <c r="X32" i="4" s="1"/>
  <c r="Y7" i="4" s="1"/>
  <c r="Y32" i="4" s="1"/>
  <c r="C8" i="7" s="1"/>
  <c r="X30" i="6"/>
  <c r="O30" i="6"/>
  <c r="T30" i="6"/>
  <c r="W30" i="6"/>
  <c r="Q30" i="6"/>
  <c r="V30" i="6"/>
  <c r="S30" i="6"/>
  <c r="N30" i="6"/>
  <c r="N32" i="6" s="1"/>
  <c r="O32" i="6" s="1"/>
  <c r="P32" i="6" s="1"/>
  <c r="Q32" i="6" s="1"/>
  <c r="R32" i="6" s="1"/>
  <c r="S32" i="6" s="1"/>
  <c r="T32" i="6" s="1"/>
  <c r="U32" i="6" s="1"/>
  <c r="V32" i="6" s="1"/>
  <c r="W32" i="6" s="1"/>
  <c r="X32" i="6" s="1"/>
  <c r="Y32" i="6" s="1"/>
  <c r="O10" i="3"/>
  <c r="C10" i="7" l="1"/>
  <c r="C15" i="7" s="1"/>
  <c r="C27" i="7"/>
  <c r="B6" i="5"/>
  <c r="B32" i="5" s="1"/>
  <c r="C6" i="5" s="1"/>
  <c r="C32" i="5" s="1"/>
  <c r="D31" i="5"/>
  <c r="B62" i="6"/>
  <c r="D8" i="7" l="1"/>
  <c r="D6" i="5"/>
  <c r="D32" i="5" s="1"/>
  <c r="E8" i="7"/>
  <c r="C28" i="7"/>
  <c r="C29" i="7" s="1"/>
  <c r="C31" i="7" s="1"/>
  <c r="C62" i="6"/>
  <c r="D27" i="7"/>
  <c r="E10" i="7" l="1"/>
  <c r="E15" i="7" s="1"/>
  <c r="D10" i="7"/>
  <c r="D15" i="7" s="1"/>
  <c r="F8" i="7"/>
  <c r="D28" i="7"/>
  <c r="D29" i="7" s="1"/>
  <c r="D62" i="6"/>
  <c r="E27" i="7"/>
  <c r="D31" i="7" l="1"/>
  <c r="F10" i="7"/>
  <c r="F15" i="7" s="1"/>
  <c r="F27" i="7"/>
  <c r="F28" i="7" s="1"/>
  <c r="F29" i="7" s="1"/>
  <c r="E28" i="7"/>
  <c r="E29" i="7" s="1"/>
  <c r="E31" i="7" s="1"/>
  <c r="F31"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tc={FB36B2AF-44DE-F047-94BF-42F745ED672B}</author>
  </authors>
  <commentList>
    <comment ref="Q25" authorId="0" shapeId="0" xr:uid="{FB36B2AF-44DE-F047-94BF-42F745ED672B}">
      <text>
        <t>[Threaded comment]
Your version of Excel allows you to read this threaded comment; however, any edits to it will get removed if the file is opened in a newer version of Excel. Learn more: https://go.microsoft.com/fwlink/?linkid=870924
Comment:
    i think these should go back to inputs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<sst xmlns="http://schemas.openxmlformats.org/spreadsheetml/2006/main" count="634" uniqueCount="439">
  <si>
    <t>Period</t>
  </si>
  <si>
    <t>Color Key</t>
  </si>
  <si>
    <t>End of year</t>
  </si>
  <si>
    <t>Gross margin</t>
  </si>
  <si>
    <t>Black = Scaffolding, calculated values (do not overwrite)</t>
  </si>
  <si>
    <t>NPV Months in Year</t>
  </si>
  <si>
    <t>Red = external data (editable)</t>
  </si>
  <si>
    <t>NPV Weeks in Year</t>
  </si>
  <si>
    <t>NPV Development Time (Yr)</t>
  </si>
  <si>
    <t>NPV Increment</t>
  </si>
  <si>
    <t>NPV Years of Operation</t>
  </si>
  <si>
    <t>NPV Half Year Increment</t>
  </si>
  <si>
    <t>Rates</t>
  </si>
  <si>
    <t>NPV Rate of Inflation</t>
  </si>
  <si>
    <t>NPV Rate of Inflation (Carbon Offsets)</t>
  </si>
  <si>
    <t>NPV  Rate of Financing</t>
  </si>
  <si>
    <t>Revenues (Oil)</t>
  </si>
  <si>
    <t>NPV</t>
  </si>
  <si>
    <t>Tanker Development Cost</t>
  </si>
  <si>
    <t>Revenues (LNG)</t>
  </si>
  <si>
    <t>Carbon Offset Cost</t>
  </si>
  <si>
    <t>Principal</t>
  </si>
  <si>
    <t>Interest</t>
  </si>
  <si>
    <t>Payment</t>
  </si>
  <si>
    <t>Reduction</t>
  </si>
  <si>
    <t>Remaining</t>
  </si>
  <si>
    <t>Dec 31, Yr 1</t>
  </si>
  <si>
    <t>Dec 31, Yr 2</t>
  </si>
  <si>
    <t>Dec 31, Yr 3</t>
  </si>
  <si>
    <t>Dec 31, Yr 4</t>
  </si>
  <si>
    <t>Dec 31, Yr 5</t>
  </si>
  <si>
    <t>Dec 31, Yr 6</t>
  </si>
  <si>
    <t>Dec 31, Yr 7</t>
  </si>
  <si>
    <t>Dec 31, Yr 8</t>
  </si>
  <si>
    <t>Dec 31, Yr 9</t>
  </si>
  <si>
    <t>Dec 31, Yr 10</t>
  </si>
  <si>
    <t>Dec 31, Yr 11</t>
  </si>
  <si>
    <t>Dec 31, Yr 12</t>
  </si>
  <si>
    <t>Dec 31, Yr 13</t>
  </si>
  <si>
    <t>Dec 31, Yr 14</t>
  </si>
  <si>
    <t>Dec 31, Yr 15</t>
  </si>
  <si>
    <t>Dec 31, Yr 16</t>
  </si>
  <si>
    <t>Dec 31, Yr 17</t>
  </si>
  <si>
    <t>Dec 31, Yr 18</t>
  </si>
  <si>
    <t>Dec 31, Yr 19</t>
  </si>
  <si>
    <t>Dec 31, Yr 20</t>
  </si>
  <si>
    <t>Dec 31, Yr 21</t>
  </si>
  <si>
    <t>Dec 31, Yr 22</t>
  </si>
  <si>
    <t>Dec 31, Yr 23</t>
  </si>
  <si>
    <t>Dec 31, Yr 24</t>
  </si>
  <si>
    <t>Dec 31, Yr 25</t>
  </si>
  <si>
    <t>Dec 31, Yr 26</t>
  </si>
  <si>
    <t>Dec 31, Yr 27</t>
  </si>
  <si>
    <t>Dec 31, Yr 28</t>
  </si>
  <si>
    <t>Dec 31, Yr 29</t>
  </si>
  <si>
    <t>Dec 31, Yr 30</t>
  </si>
  <si>
    <t>Dec 31, Yr 31</t>
  </si>
  <si>
    <t>Tanker Bank Loan</t>
  </si>
  <si>
    <t>Time and Date</t>
  </si>
  <si>
    <t>Days</t>
  </si>
  <si>
    <t>Jan</t>
  </si>
  <si>
    <t>Feb</t>
  </si>
  <si>
    <t>Mar</t>
  </si>
  <si>
    <t>Apr</t>
  </si>
  <si>
    <t xml:space="preserve">Increment </t>
  </si>
  <si>
    <t>May</t>
  </si>
  <si>
    <t>Jun</t>
  </si>
  <si>
    <t>Inflation Increment</t>
  </si>
  <si>
    <t>Jul</t>
  </si>
  <si>
    <t>Half Year Increment</t>
  </si>
  <si>
    <t>Aug</t>
  </si>
  <si>
    <t>Sep</t>
  </si>
  <si>
    <t>Oct</t>
  </si>
  <si>
    <t>Nov</t>
  </si>
  <si>
    <t>Dec</t>
  </si>
  <si>
    <t>Salvage Value</t>
  </si>
  <si>
    <t>Development Cost</t>
  </si>
  <si>
    <t>Opening Cash</t>
  </si>
  <si>
    <t>Employee Social Insurance Rate</t>
  </si>
  <si>
    <t>Bank Loan</t>
  </si>
  <si>
    <t>Insurance</t>
  </si>
  <si>
    <t>Ann Base Sal.</t>
  </si>
  <si>
    <t>Emp'r Social Ins.</t>
  </si>
  <si>
    <t>Maintenance</t>
  </si>
  <si>
    <t>Stores &amp; Lubricant</t>
  </si>
  <si>
    <t>Carbon Offset</t>
  </si>
  <si>
    <t>Sales</t>
  </si>
  <si>
    <t>COGS</t>
  </si>
  <si>
    <t>Gross profit</t>
  </si>
  <si>
    <t>LNG Price</t>
  </si>
  <si>
    <t>Y3</t>
  </si>
  <si>
    <t>Y4</t>
  </si>
  <si>
    <t>Y5</t>
  </si>
  <si>
    <t>Selling Price of LNG</t>
  </si>
  <si>
    <t>Purchase Price of LNG</t>
  </si>
  <si>
    <t>Annual Depreciation</t>
  </si>
  <si>
    <t>Daily Demand Y2</t>
  </si>
  <si>
    <t>HFO per round trip</t>
  </si>
  <si>
    <t>Gross Profit</t>
  </si>
  <si>
    <t>Port Fee</t>
  </si>
  <si>
    <t>OpEx</t>
  </si>
  <si>
    <t>Cash Budget</t>
  </si>
  <si>
    <t>For the Financial Years Ended Dec 31</t>
  </si>
  <si>
    <t>Y1</t>
  </si>
  <si>
    <t>Y2</t>
  </si>
  <si>
    <t>Revenue</t>
  </si>
  <si>
    <t>Development Costs</t>
  </si>
  <si>
    <t>Operating Costs</t>
  </si>
  <si>
    <t xml:space="preserve">  Insurance Cost</t>
  </si>
  <si>
    <t xml:space="preserve">  Port Fees</t>
  </si>
  <si>
    <t xml:space="preserve">  HFO Cost</t>
  </si>
  <si>
    <t xml:space="preserve">  Operating Expense</t>
  </si>
  <si>
    <t xml:space="preserve">  Maintenance Expense</t>
  </si>
  <si>
    <t xml:space="preserve">  Stores &amp; Spares</t>
  </si>
  <si>
    <t xml:space="preserve">  Carbon Offsets </t>
  </si>
  <si>
    <t>Net Cash Flows, Month</t>
  </si>
  <si>
    <t>Net Cash, ME</t>
  </si>
  <si>
    <t>Net Cash Flows, Year</t>
  </si>
  <si>
    <t>Net Cash, YE</t>
  </si>
  <si>
    <t>Revenues</t>
  </si>
  <si>
    <t>EBITDA</t>
  </si>
  <si>
    <t>Income Taxes</t>
  </si>
  <si>
    <t>Net Income</t>
  </si>
  <si>
    <t>Culmative Net income</t>
  </si>
  <si>
    <t>Statement of Financial Position</t>
  </si>
  <si>
    <t>ASSETS</t>
  </si>
  <si>
    <t>Current Assets</t>
  </si>
  <si>
    <t>Cash</t>
  </si>
  <si>
    <t>Accounts Receivable</t>
  </si>
  <si>
    <t>Total Current Assets</t>
  </si>
  <si>
    <t>Non-Current Assets</t>
  </si>
  <si>
    <t>Q-Max Tanker Asset</t>
  </si>
  <si>
    <t>Less Accumulated Depreciation, Q-Max Tanker</t>
  </si>
  <si>
    <t>Total Non-Current Assets</t>
  </si>
  <si>
    <t>TOTAL ASSETS</t>
  </si>
  <si>
    <t>LIABILITIES AND EQUITY</t>
  </si>
  <si>
    <t>Current Liabilities</t>
  </si>
  <si>
    <t>Bank Loan Payable</t>
  </si>
  <si>
    <t>Accounts Payable</t>
  </si>
  <si>
    <t>Port Fees Payable</t>
  </si>
  <si>
    <t>Operating Expenses Payable</t>
  </si>
  <si>
    <t>Heavy Fuel Oil Payable</t>
  </si>
  <si>
    <t>Government Remittances Payable</t>
  </si>
  <si>
    <t>Total Liabilities</t>
  </si>
  <si>
    <t>Equity</t>
  </si>
  <si>
    <t>Retained Earnings</t>
  </si>
  <si>
    <t>Total Equity</t>
  </si>
  <si>
    <t>TOTAL LIABILITIES &amp; EQUITY</t>
  </si>
  <si>
    <t>Check Sum</t>
  </si>
  <si>
    <t>Port Fees</t>
  </si>
  <si>
    <t>Key Assumptions made for this tanker NPV:</t>
  </si>
  <si>
    <t>$10M Cash Floor not considered in NPV calculations</t>
  </si>
  <si>
    <t>Minimum Cash Balance</t>
  </si>
  <si>
    <t>Employer Social Insurance Rate</t>
  </si>
  <si>
    <t>Useful Life</t>
  </si>
  <si>
    <t>First Year</t>
  </si>
  <si>
    <t>Days in Year</t>
  </si>
  <si>
    <t>Weeks in Year</t>
  </si>
  <si>
    <t>Months in Year</t>
  </si>
  <si>
    <t>Deferred Year</t>
  </si>
  <si>
    <t>Capacity per Round Trip</t>
  </si>
  <si>
    <t>Inflation Rate</t>
  </si>
  <si>
    <t>Bank Rate</t>
  </si>
  <si>
    <t>Gas Demand Rate</t>
  </si>
  <si>
    <t>Carbon Offset Rate</t>
  </si>
  <si>
    <t>Corporate Tax Rate</t>
  </si>
  <si>
    <t>Tons per Round Trip</t>
  </si>
  <si>
    <t>NPV Gas Demand Rate</t>
  </si>
  <si>
    <t>Pipeline Development Cost</t>
  </si>
  <si>
    <t>Pipeline Rate of Increase in Demand</t>
  </si>
  <si>
    <t>Tanker Quantity Demanded Y2</t>
  </si>
  <si>
    <t>Tanker Daily Demand Y2</t>
  </si>
  <si>
    <t>NPV LNG Purchase Cost</t>
  </si>
  <si>
    <t>NPV LNG Selling Price</t>
  </si>
  <si>
    <t>Inflatable Costs Y2</t>
  </si>
  <si>
    <t>Depreciation</t>
  </si>
  <si>
    <t>CASH INFLOWS</t>
  </si>
  <si>
    <t>CASH OUTFLOWS</t>
  </si>
  <si>
    <t>Total Cash Inflows</t>
  </si>
  <si>
    <t>Total Cash Outflows</t>
  </si>
  <si>
    <t>Insurance Expense</t>
  </si>
  <si>
    <t>Operating Expense</t>
  </si>
  <si>
    <t>General Maintenance Expense</t>
  </si>
  <si>
    <t>Stores &amp; Lubricant Expense</t>
  </si>
  <si>
    <t>Heavy Fuel Oil Expense</t>
  </si>
  <si>
    <t>Employer Social Insurance Expense</t>
  </si>
  <si>
    <t>Carbon Offset Expense</t>
  </si>
  <si>
    <t>Social Insurance Contributions</t>
  </si>
  <si>
    <t>Payment to Employees</t>
  </si>
  <si>
    <t>Port Damage Expense</t>
  </si>
  <si>
    <t>Carbon Offset Costs</t>
  </si>
  <si>
    <t>Heavy Fuel Oil Per Round Trip</t>
  </si>
  <si>
    <t>Carbon Offset Rate, Y5</t>
  </si>
  <si>
    <t xml:space="preserve">  Port Damage </t>
  </si>
  <si>
    <t>Qty Demanded</t>
  </si>
  <si>
    <t>Operating Expenses (Annual)</t>
  </si>
  <si>
    <t>BUSI 414</t>
  </si>
  <si>
    <t>Data Visualization and Business Analytics</t>
  </si>
  <si>
    <t>Course Ref</t>
  </si>
  <si>
    <t>Course Name</t>
  </si>
  <si>
    <t>Team</t>
  </si>
  <si>
    <t>Students</t>
  </si>
  <si>
    <t>G. Bennett 10134492</t>
  </si>
  <si>
    <t>E. Dizon 47881479</t>
  </si>
  <si>
    <t>V. Domet 77545341</t>
  </si>
  <si>
    <t>U. Kos 83027870</t>
  </si>
  <si>
    <t>T. Lee 39546149</t>
  </si>
  <si>
    <t>QatarEnergy</t>
  </si>
  <si>
    <t xml:space="preserve">The Hurricane in July, Year 4 leading to a two day port delay was determined not to have an impact on the financial statements in this model. As there was no impact on number of trip, fuel consumption, or port fees, along with the fact that daily payments from Bahrain are not made based on deliveries, there is no material effect on either costs or revenue. </t>
  </si>
  <si>
    <t>What-If? Costs</t>
  </si>
  <si>
    <t>As at Dec 31, Year Indicated</t>
  </si>
  <si>
    <t>Cash Flows - Pipeline</t>
  </si>
  <si>
    <t>Cash Flows - Tanker</t>
  </si>
  <si>
    <t>Time &amp; Date</t>
  </si>
  <si>
    <t>Pipeline Inputs</t>
  </si>
  <si>
    <t>Tanker Inputs</t>
  </si>
  <si>
    <t>Round Trip Costs</t>
  </si>
  <si>
    <t>Tons of HFO per Round Trip</t>
  </si>
  <si>
    <t>NPV Comparison - Pipeline vs. Tanker</t>
  </si>
  <si>
    <t>Pipeline Bank Loan</t>
  </si>
  <si>
    <t>Round Trips Required</t>
  </si>
  <si>
    <t># of Trips</t>
  </si>
  <si>
    <t>Inputs</t>
  </si>
  <si>
    <t>Schedules</t>
  </si>
  <si>
    <t>Black on Blue = Owner's decision</t>
  </si>
  <si>
    <t>Gray shade (stay out!)</t>
  </si>
  <si>
    <t>Inflatable Costs</t>
  </si>
  <si>
    <t>Pipeline Insurance, Y2</t>
  </si>
  <si>
    <t>Pipeline Operations Management, Y2</t>
  </si>
  <si>
    <t>Pipeline Fuel Compression &amp; Pumping, Y2</t>
  </si>
  <si>
    <t>Pipeline General Maint. &amp; Eng., Y2</t>
  </si>
  <si>
    <t>Pipeline Total Annual Cost, Y2</t>
  </si>
  <si>
    <t>Pipeline Salvage Value, Y31</t>
  </si>
  <si>
    <t>Pipeline Sales, Y2</t>
  </si>
  <si>
    <t>Pipeline Purchase Price, Y2</t>
  </si>
  <si>
    <t>Pipeline Sale Price, Y2</t>
  </si>
  <si>
    <t>Pipeline Carbon Offset, Y2</t>
  </si>
  <si>
    <t>Tanker Salvage Value, Y31</t>
  </si>
  <si>
    <t>Insurance Expense, Y2</t>
  </si>
  <si>
    <t>Annual General Maintenance Expense, Y2</t>
  </si>
  <si>
    <t>Tanker Insurance, Y2</t>
  </si>
  <si>
    <t>Tanker General Maintenance, Y2</t>
  </si>
  <si>
    <t>Tanker Stores &amp; Lubricants, Y2</t>
  </si>
  <si>
    <t>Tanker Crew Expense, Y2</t>
  </si>
  <si>
    <t>Tanker Total Annual Cost, Y2</t>
  </si>
  <si>
    <t>Tanker Carbon Offset, Y2</t>
  </si>
  <si>
    <t>Port Fees per Round Trip, Y2</t>
  </si>
  <si>
    <t>Operating Expense per Round Trip, Y2</t>
  </si>
  <si>
    <t xml:space="preserve">Price per Ton of HFO, Y2 </t>
  </si>
  <si>
    <t>Total Cost per Round Trip, Y2</t>
  </si>
  <si>
    <t>Considering both NPVs are positive values, and therefore profitable, QatarEnergy should choose the project with</t>
  </si>
  <si>
    <t>the larger NPV. QE should proceed with the Tanker Project.</t>
  </si>
  <si>
    <t>Port Damage, Y3</t>
  </si>
  <si>
    <t>Insurance Coverage - Damage, Y3</t>
  </si>
  <si>
    <t>Port Damage Expense, Y3</t>
  </si>
  <si>
    <t>Tanker Costs</t>
  </si>
  <si>
    <t>Year 1 Expenses</t>
  </si>
  <si>
    <t>Inflatable Costs, Y1</t>
  </si>
  <si>
    <t>Carbon Offset, Y1</t>
  </si>
  <si>
    <t>Carbon Offset, Y2</t>
  </si>
  <si>
    <t>Price per Ton of HFO, Y1</t>
  </si>
  <si>
    <t>Year 2 Expenses</t>
  </si>
  <si>
    <t>Crew Costs, Y1</t>
  </si>
  <si>
    <t>Insurance Expense, Y1</t>
  </si>
  <si>
    <t>Port Fees per Round Trip, Y1</t>
  </si>
  <si>
    <t>Operating Expense per Round Trip, Y1</t>
  </si>
  <si>
    <t>Annual General Maintenance Expense, Y1</t>
  </si>
  <si>
    <t>Annual Stores &amp; Lubricants Expense, Y1</t>
  </si>
  <si>
    <t>Payment to Employees, Y1</t>
  </si>
  <si>
    <t>Employee Social Insurance Contribution, Y1</t>
  </si>
  <si>
    <t>Employer Social Insurance Contribution, Y1</t>
  </si>
  <si>
    <t>Depreciation Expense, Y1</t>
  </si>
  <si>
    <t>Purchase Cost, Y2</t>
  </si>
  <si>
    <t>Selling Price, Y2</t>
  </si>
  <si>
    <t>Annual Stores &amp; Lubricants Expense, Y2</t>
  </si>
  <si>
    <t>Crew Costs, Y2</t>
  </si>
  <si>
    <t>Annual Total Salary Expense, Y2</t>
  </si>
  <si>
    <t>Annual Base Salary Expense, Y2</t>
  </si>
  <si>
    <t>Payment to Employees, Y2</t>
  </si>
  <si>
    <t>Employee Social Insurance Contribution, Y2</t>
  </si>
  <si>
    <t>Employer Social Insurance Contribution, Y2</t>
  </si>
  <si>
    <t>Liquid Natural Gas, Y2</t>
  </si>
  <si>
    <t>Liquid Natural Gas, Y1</t>
  </si>
  <si>
    <t>Year 2 Gross Profit</t>
  </si>
  <si>
    <t>Pink = calculated value from other sheet (do not overwrite)</t>
  </si>
  <si>
    <t>Annual Demand, Y2</t>
  </si>
  <si>
    <t>Annual Demand, Y1</t>
  </si>
  <si>
    <t>Heavy Fuel Oil</t>
  </si>
  <si>
    <t>Tons of HFO per Year</t>
  </si>
  <si>
    <t>Total Annual Cost</t>
  </si>
  <si>
    <t>Year</t>
  </si>
  <si>
    <t>Round Trip Expenses (Annual)</t>
  </si>
  <si>
    <t>Black = scaffolding, calculated values (do not overwrite)</t>
  </si>
  <si>
    <t>Black on Blue = owner's decision</t>
  </si>
  <si>
    <t>Statement of Income</t>
  </si>
  <si>
    <t>Expenses</t>
  </si>
  <si>
    <t>Cost of Goods Sold</t>
  </si>
  <si>
    <t>Total Expenses</t>
  </si>
  <si>
    <t>Crew Expense</t>
  </si>
  <si>
    <t>Income Before Taxes</t>
  </si>
  <si>
    <t xml:space="preserve">  Bank Loan Payment</t>
  </si>
  <si>
    <r>
      <rPr>
        <b/>
        <sz val="20"/>
        <color theme="1"/>
        <rFont val="Aptos Narrow (Body)"/>
      </rPr>
      <t>DATA MODEL</t>
    </r>
    <r>
      <rPr>
        <b/>
        <sz val="20"/>
        <color theme="1"/>
        <rFont val="Aptos Narrow"/>
        <family val="2"/>
        <scheme val="minor"/>
      </rPr>
      <t xml:space="preserve">: </t>
    </r>
    <r>
      <rPr>
        <b/>
        <sz val="22"/>
        <color rgb="FF78A779"/>
        <rFont val="Aptos Narrow (Body)"/>
      </rPr>
      <t>Q</t>
    </r>
    <r>
      <rPr>
        <b/>
        <sz val="20"/>
        <color rgb="FF78A779"/>
        <rFont val="Aptos Narrow (Body)"/>
      </rPr>
      <t xml:space="preserve">ATAR </t>
    </r>
    <r>
      <rPr>
        <b/>
        <sz val="22"/>
        <color rgb="FF78A779"/>
        <rFont val="Aptos Narrow (Body)"/>
      </rPr>
      <t>E</t>
    </r>
    <r>
      <rPr>
        <b/>
        <sz val="20"/>
        <color rgb="FF78A779"/>
        <rFont val="Aptos Narrow (Body)"/>
      </rPr>
      <t>NERGY CASE</t>
    </r>
  </si>
  <si>
    <t>Note:</t>
  </si>
  <si>
    <t>Months</t>
  </si>
  <si>
    <r>
      <rPr>
        <b/>
        <sz val="11"/>
        <color rgb="FF78A779"/>
        <rFont val="Calibri"/>
        <family val="2"/>
      </rPr>
      <t>Comparison &amp; Conclusion</t>
    </r>
    <r>
      <rPr>
        <sz val="11"/>
        <color theme="1"/>
        <rFont val="Calibri"/>
        <family val="2"/>
      </rPr>
      <t xml:space="preserve">: The Tanker NPV of $1,456,298,495 is greater than the Pipeline NPV of $777,842,380. </t>
    </r>
  </si>
  <si>
    <t>Income Tax</t>
  </si>
  <si>
    <t>Ag Accounting &amp; Consulting</t>
  </si>
  <si>
    <r>
      <rPr>
        <b/>
        <sz val="13"/>
        <color rgb="FF78A779"/>
        <rFont val="Aptos Narrow (Body)"/>
      </rPr>
      <t>Business Proposition:</t>
    </r>
    <r>
      <rPr>
        <sz val="13"/>
        <color theme="1"/>
        <rFont val="Aptos Narrow"/>
        <family val="2"/>
        <scheme val="minor"/>
      </rPr>
      <t xml:space="preserve"> We will operate a single Q-Max Tanker to supply Qatari Natural Gas to Bahrain over a 30-year contract period. We hold the exclusive rights to sell Qatari Natural Gas and its liquid form, LNG, to other countries (1). We will be the exclusive supplier to the country of Bahrain (2). Bahrain is a neighbouring nation separated by only 80km of sea. The Q-Max Tanker can deliver LNG often and without major risks (3). The demand for LNG will increase steadily over the 30-year contract period. Our Q-Max tanker will supply more than enough LNG for this growing demand (4). </t>
    </r>
  </si>
  <si>
    <r>
      <rPr>
        <b/>
        <sz val="13"/>
        <color rgb="FF78A779"/>
        <rFont val="Aptos Narrow (Headings)"/>
      </rPr>
      <t>Executive Summary</t>
    </r>
    <r>
      <rPr>
        <b/>
        <sz val="13"/>
        <color rgb="FF78A779"/>
        <rFont val="Aptos Narrow"/>
        <family val="2"/>
        <scheme val="major"/>
      </rPr>
      <t>:</t>
    </r>
    <r>
      <rPr>
        <b/>
        <sz val="13"/>
        <rFont val="Aptos Narrow"/>
        <family val="2"/>
        <scheme val="major"/>
      </rPr>
      <t xml:space="preserve"> </t>
    </r>
    <r>
      <rPr>
        <sz val="13"/>
        <rFont val="Aptos Narrow"/>
        <family val="2"/>
        <scheme val="major"/>
      </rPr>
      <t>The business plan appears viable.  QatarEnergy will need approximately $260 million of financing. The Q-Max Tanker will sell LNG at $28 per cubic meter in the first year of operation, which will be achieved with a loan from the National Bank of Qatar. We have projected that in the first month of the first year of operations we will have $1.734 million in cumulative net income, where payment will be made daily, one day in arrears by Bahrain. Given the current market and economic conditions, we estimate that undertaking this project would return a net present value of $1.456 billion after startup and 30 consecutive years of operation.</t>
    </r>
  </si>
  <si>
    <t>Annual_depreciation</t>
  </si>
  <si>
    <t>='2a), 4) Inputs'!$E$20</t>
  </si>
  <si>
    <t>Annual_salary_base_costs</t>
  </si>
  <si>
    <t>='2a), 4) Inputs'!$E$37</t>
  </si>
  <si>
    <t>Annual_salary_costs</t>
  </si>
  <si>
    <t>='2a), 4) Inputs'!$E$36</t>
  </si>
  <si>
    <t>Bank_rate</t>
  </si>
  <si>
    <t>='2a), 4) Inputs'!$B$24</t>
  </si>
  <si>
    <t>Capacity_per_trip</t>
  </si>
  <si>
    <t>='2a), 4) Inputs'!$B$15</t>
  </si>
  <si>
    <t>Carbon_offset</t>
  </si>
  <si>
    <t>='2a), 4) Inputs'!$B$37</t>
  </si>
  <si>
    <t>Carbon_offset_rate</t>
  </si>
  <si>
    <t>='2a), 4) Inputs'!$B$26</t>
  </si>
  <si>
    <t>Corporate_tax_rate</t>
  </si>
  <si>
    <t>='2a), 4) Inputs'!$B$27</t>
  </si>
  <si>
    <t>Daily_demand_LNG_Y2</t>
  </si>
  <si>
    <t>='2b) Schedules'!$R$25</t>
  </si>
  <si>
    <t>Days_in_year</t>
  </si>
  <si>
    <t>='2a), 4) Inputs'!$B$6</t>
  </si>
  <si>
    <t>Deferred_year</t>
  </si>
  <si>
    <t>='2a), 4) Inputs'!$B$10</t>
  </si>
  <si>
    <t>Depreciation_expense_Y1</t>
  </si>
  <si>
    <t>Development_cost</t>
  </si>
  <si>
    <t>='2a), 4) Inputs'!$B$18</t>
  </si>
  <si>
    <t>Employee_contribution</t>
  </si>
  <si>
    <t>='2a), 4) Inputs'!$E$39</t>
  </si>
  <si>
    <t>Employer_contribution</t>
  </si>
  <si>
    <t>='2a), 4) Inputs'!$E$40</t>
  </si>
  <si>
    <t>First_year</t>
  </si>
  <si>
    <t>='2a), 4) Inputs'!$B$5</t>
  </si>
  <si>
    <t>Gas_demand_rate</t>
  </si>
  <si>
    <t>='2a), 4) Inputs'!$B$25</t>
  </si>
  <si>
    <t>General_maintenance</t>
  </si>
  <si>
    <t>='2a), 4) Inputs'!$E$32</t>
  </si>
  <si>
    <t>Heavy_fuel_oil</t>
  </si>
  <si>
    <t>='2b) Schedules'!$R$26</t>
  </si>
  <si>
    <t>Increment</t>
  </si>
  <si>
    <t>='2a), 4) Inputs'!$B$9</t>
  </si>
  <si>
    <t>Inflation_rate</t>
  </si>
  <si>
    <t>='2a), 4) Inputs'!$B$23</t>
  </si>
  <si>
    <t>Insurance_expense</t>
  </si>
  <si>
    <t>='2a), 4) Inputs'!$E$29</t>
  </si>
  <si>
    <t>Minimum_balance</t>
  </si>
  <si>
    <t>='2a), 4) Inputs'!$B$19</t>
  </si>
  <si>
    <t>Months_in_year</t>
  </si>
  <si>
    <t>='2a), 4) Inputs'!$B$8</t>
  </si>
  <si>
    <t>NPV__Rate_of_Financing</t>
  </si>
  <si>
    <t>='1) NPV Comparison'!$B$15</t>
  </si>
  <si>
    <t>NPV_Development_Time__Yr</t>
  </si>
  <si>
    <t>='1) NPV Comparison'!$B$7</t>
  </si>
  <si>
    <t>NPV_First_Year</t>
  </si>
  <si>
    <t>='1) NPV Comparison'!$K$37</t>
  </si>
  <si>
    <t>NPV_Gas_demand_rate</t>
  </si>
  <si>
    <t>='1) NPV Comparison'!$B$16</t>
  </si>
  <si>
    <t>NPV_Half_Year_Increment</t>
  </si>
  <si>
    <t>='1) NPV Comparison'!$B$10</t>
  </si>
  <si>
    <t>NPV_Increment</t>
  </si>
  <si>
    <t>='1) NPV Comparison'!$B$8</t>
  </si>
  <si>
    <t>NPV_LNG_Purchase_cost</t>
  </si>
  <si>
    <t>='1) NPV Comparison'!$B$45</t>
  </si>
  <si>
    <t>NPV_LNG_Selling_price</t>
  </si>
  <si>
    <t>='1) NPV Comparison'!$B$46</t>
  </si>
  <si>
    <t>NPV_Months_in_Year</t>
  </si>
  <si>
    <t>='1) NPV Comparison'!$B$5</t>
  </si>
  <si>
    <t>NPV_Rate_of_Inflation</t>
  </si>
  <si>
    <t>='1) NPV Comparison'!$B$13</t>
  </si>
  <si>
    <t>NPV_Rate_of_Inflation__Carbon_Offsets</t>
  </si>
  <si>
    <t>='1) NPV Comparison'!$B$14</t>
  </si>
  <si>
    <t>NPV_Weeks_in_Year</t>
  </si>
  <si>
    <t>='1) NPV Comparison'!$B$6</t>
  </si>
  <si>
    <t>NPV_Years_of_Operation</t>
  </si>
  <si>
    <t>='1) NPV Comparison'!$B$9</t>
  </si>
  <si>
    <t>Operating_expense</t>
  </si>
  <si>
    <t>='2a), 4) Inputs'!$E$31</t>
  </si>
  <si>
    <t>Pipeline_Carbon_Offsets__Paid_monthly_on_15th</t>
  </si>
  <si>
    <t>='1) NPV Comparison'!$B$36</t>
  </si>
  <si>
    <t>Pipeline_Development_cost</t>
  </si>
  <si>
    <t>='1) NPV Comparison'!$B$19</t>
  </si>
  <si>
    <t>Pipeline_Increment</t>
  </si>
  <si>
    <t>Pipeline_Purchase_Price_Y2</t>
  </si>
  <si>
    <t>='1) NPV Comparison'!$B$25</t>
  </si>
  <si>
    <t>Pipeline_Rate_of_increase_in_demand</t>
  </si>
  <si>
    <t>='1) NPV Comparison'!$B$20</t>
  </si>
  <si>
    <t>Pipeline_Sale_Price_Y2</t>
  </si>
  <si>
    <t>='1) NPV Comparison'!$B$26</t>
  </si>
  <si>
    <t>Pipeline_Sales_Y2</t>
  </si>
  <si>
    <t>='1) NPV Comparison'!$B$24</t>
  </si>
  <si>
    <t>Pipeline_Salvage_Value_Y31</t>
  </si>
  <si>
    <t>='1) NPV Comparison'!$B$21</t>
  </si>
  <si>
    <t>Pipeline_Total_annual_cost_Y2</t>
  </si>
  <si>
    <t>='1) NPV Comparison'!$B$33</t>
  </si>
  <si>
    <t>Port_Damage_Expense</t>
  </si>
  <si>
    <t>='2a), 4) Inputs'!$B$42</t>
  </si>
  <si>
    <t>Port_fee</t>
  </si>
  <si>
    <t>='2a), 4) Inputs'!$E$30</t>
  </si>
  <si>
    <t>Price_per_ton</t>
  </si>
  <si>
    <t>='2a), 4) Inputs'!$B$32</t>
  </si>
  <si>
    <t>Purchase_cost_LNG</t>
  </si>
  <si>
    <t>='2a), 4) Inputs'!$E$25</t>
  </si>
  <si>
    <t>Quantity_demand_Y1</t>
  </si>
  <si>
    <t>='2a), 4) Inputs'!$E$6</t>
  </si>
  <si>
    <t>Quantity_demand_Y2</t>
  </si>
  <si>
    <t>='2a), 4) Inputs'!$E$24</t>
  </si>
  <si>
    <t>Quantity_demanded_Y1</t>
  </si>
  <si>
    <t>Salvage_value</t>
  </si>
  <si>
    <t>='2a), 4) Inputs'!$B$17</t>
  </si>
  <si>
    <t>Selling_price_LNG_Y2</t>
  </si>
  <si>
    <t>='2a), 4) Inputs'!$E$26</t>
  </si>
  <si>
    <t>Stores_and_lubricants</t>
  </si>
  <si>
    <t>='2a), 4) Inputs'!$E$33</t>
  </si>
  <si>
    <t>Tanker_Daily_demand_Y2</t>
  </si>
  <si>
    <t>='1) NPV Comparison'!$B$44</t>
  </si>
  <si>
    <t>Tanker_Development_Cost</t>
  </si>
  <si>
    <t>='1) NPV Comparison'!$B$39</t>
  </si>
  <si>
    <t>Tanker_Quantity_demanded_Y2</t>
  </si>
  <si>
    <t>='1) NPV Comparison'!$B$43</t>
  </si>
  <si>
    <t>Tanker_Salvage_Value_Y31</t>
  </si>
  <si>
    <t>='1) NPV Comparison'!$B$40</t>
  </si>
  <si>
    <t>Tanker_Total_Annual_Cost_Y2</t>
  </si>
  <si>
    <t>='1) NPV Comparison'!$B$53</t>
  </si>
  <si>
    <t>Tons_per_trip</t>
  </si>
  <si>
    <t>='2a), 4) Inputs'!$B$33</t>
  </si>
  <si>
    <t>Useful_life</t>
  </si>
  <si>
    <t>='2a), 4) Inputs'!$B$16</t>
  </si>
  <si>
    <t>Weeks_in_year</t>
  </si>
  <si>
    <t>='2a), 4) Inputs'!$B$7</t>
  </si>
  <si>
    <t>Y5_CO_Rate</t>
  </si>
  <si>
    <t>='2a), 4) Inputs'!$B$43</t>
  </si>
  <si>
    <t>Named Ranges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</si>
</sst>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Red]\-&quot;$&quot;#,##0"/>
    <numFmt numFmtId="44" formatCode="_-&quot;$&quot;* #,##0.00_-;\-&quot;$&quot;* #,##0.00_-;_-&quot;$&quot;* &quot;-&quot;??_-;_-@_-"/>
    <numFmt numFmtId="43" formatCode="_-* #,##0.00_-;\-* #,##0.00_-;_-* &quot;-&quot;??_-;_-@_-"/>
    <numFmt numFmtId="164" formatCode="&quot;$&quot;#,##0.00_);[Red]\(&quot;$&quot;#,##0.00\)"/>
    <numFmt numFmtId="165" formatCode="_(&quot;$&quot;* #,##0.00_);_(&quot;$&quot;* \(#,##0.00\);_(&quot;$&quot;* &quot;-&quot;??_);_(@_)"/>
    <numFmt numFmtId="166" formatCode="&quot;$&quot;#,##0"/>
    <numFmt numFmtId="167" formatCode="0.0%"/>
    <numFmt numFmtId="168" formatCode="_(&quot;$&quot;* #,##0.000_);_(&quot;$&quot;* \(#,##0.000\);_(&quot;$&quot;* &quot;-&quot;??_);_(@_)"/>
    <numFmt numFmtId="169" formatCode="_-* #,##0_-;\-* #,##0_-;_-* &quot;-&quot;??_-;_-@_-"/>
    <numFmt numFmtId="170" formatCode="_(&quot;$&quot;* #,##0_);_(&quot;$&quot;* \(#,##0\);_(&quot;$&quot;* &quot;-&quot;??_);_(@_)"/>
    <numFmt numFmtId="171" formatCode="0.0000"/>
    <numFmt numFmtId="172" formatCode="_-&quot;$&quot;* #,##0_-;\-&quot;$&quot;* #,##0_-;_-&quot;$&quot;* &quot;-&quot;??_-;_-@_-"/>
  </numFmts>
  <fonts count="35">
    <font>
      <sz val="11"/>
      <color theme="1"/>
      <name val="Aptos Narrow"/>
      <scheme val="minor"/>
    </font>
    <font>
      <sz val="11"/>
      <color theme="1"/>
      <name val="Aptos Narrow"/>
      <family val="2"/>
      <scheme val="minor"/>
    </font>
    <font>
      <b/>
      <sz val="11"/>
      <color theme="1"/>
      <name val="Calibri"/>
      <family val="2"/>
    </font>
    <font>
      <sz val="11"/>
      <color theme="1"/>
      <name val="Calibri"/>
      <family val="2"/>
    </font>
    <font>
      <sz val="11"/>
      <color rgb="FFFF0000"/>
      <name val="Calibri"/>
      <family val="2"/>
    </font>
    <font>
      <sz val="11"/>
      <color theme="1"/>
      <name val="Aptos Narrow"/>
      <family val="2"/>
      <scheme val="minor"/>
    </font>
    <font>
      <b/>
      <sz val="11"/>
      <color theme="1"/>
      <name val="Aptos Narrow"/>
      <family val="2"/>
      <scheme val="minor"/>
    </font>
    <font>
      <sz val="11"/>
      <color theme="9"/>
      <name val="Calibri"/>
      <family val="2"/>
    </font>
    <font>
      <i/>
      <sz val="11"/>
      <color theme="1"/>
      <name val="Calibri"/>
      <family val="2"/>
    </font>
    <font>
      <sz val="11"/>
      <color theme="1"/>
      <name val="Aptos Narrow"/>
      <family val="2"/>
      <scheme val="minor"/>
    </font>
    <font>
      <sz val="12"/>
      <color theme="1"/>
      <name val="Calibri"/>
      <family val="2"/>
    </font>
    <font>
      <b/>
      <i/>
      <sz val="11"/>
      <color theme="1"/>
      <name val="Calibri"/>
      <family val="2"/>
    </font>
    <font>
      <b/>
      <sz val="11"/>
      <color rgb="FF000000"/>
      <name val="Calibri"/>
      <family val="2"/>
    </font>
    <font>
      <sz val="11"/>
      <name val="Calibri"/>
      <family val="2"/>
    </font>
    <font>
      <b/>
      <sz val="11"/>
      <color rgb="FF78A779"/>
      <name val="Calibri"/>
      <family val="2"/>
    </font>
    <font>
      <sz val="11"/>
      <color theme="1" tint="0.34998626667073579"/>
      <name val="Calibri"/>
      <family val="2"/>
    </font>
    <font>
      <b/>
      <sz val="13"/>
      <color rgb="FF78A779"/>
      <name val="Aptos Narrow (Body)"/>
    </font>
    <font>
      <sz val="13"/>
      <color theme="1"/>
      <name val="Aptos Narrow"/>
      <family val="2"/>
      <scheme val="minor"/>
    </font>
    <font>
      <b/>
      <sz val="20"/>
      <color theme="1"/>
      <name val="Aptos Narrow (Body)"/>
    </font>
    <font>
      <b/>
      <sz val="20"/>
      <color theme="1"/>
      <name val="Aptos Narrow"/>
      <family val="2"/>
      <scheme val="minor"/>
    </font>
    <font>
      <b/>
      <sz val="20"/>
      <color rgb="FF78A779"/>
      <name val="Aptos Narrow (Body)"/>
    </font>
    <font>
      <sz val="11"/>
      <color theme="8" tint="0.39997558519241921"/>
      <name val="Calibri"/>
      <family val="2"/>
    </font>
    <font>
      <b/>
      <sz val="13"/>
      <color rgb="FF78A779"/>
      <name val="Calibri"/>
      <family val="2"/>
    </font>
    <font>
      <b/>
      <sz val="13"/>
      <color rgb="FF78A779"/>
      <name val="Aptos Narrow"/>
      <family val="2"/>
      <scheme val="minor"/>
    </font>
    <font>
      <b/>
      <sz val="22"/>
      <color rgb="FF78A779"/>
      <name val="Aptos Narrow (Body)"/>
    </font>
    <font>
      <i/>
      <sz val="11"/>
      <color rgb="FF000000"/>
      <name val="Calibri"/>
      <family val="2"/>
    </font>
    <font>
      <b/>
      <sz val="12"/>
      <color rgb="FF78A779"/>
      <name val="Aptos Narrow"/>
      <family val="2"/>
      <scheme val="minor"/>
    </font>
    <font>
      <b/>
      <sz val="12"/>
      <color theme="1"/>
      <name val="Aptos Narrow"/>
      <family val="2"/>
      <scheme val="minor"/>
    </font>
    <font>
      <sz val="12"/>
      <color theme="1"/>
      <name val="Aptos Narrow"/>
      <family val="2"/>
      <scheme val="minor"/>
    </font>
    <font>
      <b/>
      <sz val="13"/>
      <name val="Aptos Narrow"/>
      <family val="2"/>
      <scheme val="major"/>
    </font>
    <font>
      <sz val="13"/>
      <name val="Aptos Narrow"/>
      <family val="2"/>
      <scheme val="major"/>
    </font>
    <font>
      <b/>
      <sz val="13"/>
      <color rgb="FF78A779"/>
      <name val="Aptos Narrow (Headings)"/>
    </font>
    <font>
      <b/>
      <sz val="13"/>
      <color rgb="FF78A779"/>
      <name val="Aptos Narrow"/>
      <family val="2"/>
      <scheme val="major"/>
    </font>
    <font>
      <sz val="11"/>
      <color theme="0" tint="-0.249977111117893"/>
      <name val="Calibri"/>
      <family val="2"/>
    </font>
    <font>
      <i/>
      <sz val="11"/>
      <color theme="1"/>
      <name val="Aptos Narrow"/>
      <family val="2"/>
      <scheme val="minor"/>
    </font>
  </fonts>
  <fills count="18">
    <fill>
      <patternFill patternType="none"/>
    </fill>
    <fill>
      <patternFill patternType="gray125"/>
    </fill>
    <fill>
      <patternFill patternType="solid">
        <fgColor rgb="FFB8CCE4"/>
        <bgColor rgb="FFB8CCE4"/>
      </patternFill>
    </fill>
    <fill>
      <patternFill patternType="solid">
        <fgColor rgb="FFDDD9C3"/>
        <bgColor rgb="FFDDD9C3"/>
      </patternFill>
    </fill>
    <fill>
      <patternFill patternType="solid">
        <fgColor rgb="FFC6D9F0"/>
        <bgColor rgb="FFC6D9F0"/>
      </patternFill>
    </fill>
    <fill>
      <patternFill patternType="solid">
        <fgColor rgb="FFFFFF00"/>
        <bgColor indexed="64"/>
      </patternFill>
    </fill>
    <fill>
      <patternFill patternType="solid">
        <fgColor rgb="FFB8CCE4"/>
        <bgColor indexed="64"/>
      </patternFill>
    </fill>
    <fill>
      <patternFill patternType="solid">
        <fgColor theme="2" tint="-0.249977111117893"/>
        <bgColor indexed="64"/>
      </patternFill>
    </fill>
    <fill>
      <patternFill patternType="solid">
        <fgColor theme="2" tint="-0.249977111117893"/>
        <bgColor rgb="FFC1F0C8"/>
      </patternFill>
    </fill>
    <fill>
      <patternFill patternType="solid">
        <fgColor theme="2" tint="-0.249977111117893"/>
        <bgColor rgb="FFCAEDFB"/>
      </patternFill>
    </fill>
    <fill>
      <patternFill patternType="solid">
        <fgColor rgb="FFFF0000"/>
        <bgColor indexed="64"/>
      </patternFill>
    </fill>
    <fill>
      <patternFill patternType="solid">
        <fgColor rgb="FF00B050"/>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rgb="FF78A779"/>
        <bgColor indexed="64"/>
      </patternFill>
    </fill>
    <fill>
      <patternFill patternType="solid">
        <fgColor theme="0" tint="-0.249977111117893"/>
        <bgColor rgb="FFDDD9C3"/>
      </patternFill>
    </fill>
  </fills>
  <borders count="36">
    <border>
      <left/>
      <right/>
      <top/>
      <bottom/>
      <diagonal/>
    </border>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style="medium">
        <color indexed="64"/>
      </left>
      <right/>
      <top/>
      <bottom/>
      <diagonal/>
    </border>
    <border>
      <left/>
      <right/>
      <top/>
      <bottom style="double">
        <color rgb="FF000000"/>
      </bottom>
      <diagonal/>
    </border>
    <border>
      <left/>
      <right/>
      <top style="thin">
        <color rgb="FF000000"/>
      </top>
      <bottom style="double">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rgb="FF000000"/>
      </top>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top/>
      <bottom style="double">
        <color indexed="64"/>
      </bottom>
      <diagonal/>
    </border>
    <border>
      <left style="thin">
        <color rgb="FF000000"/>
      </left>
      <right/>
      <top/>
      <bottom style="double">
        <color indexed="64"/>
      </bottom>
      <diagonal/>
    </border>
    <border>
      <left style="thin">
        <color rgb="FF000000"/>
      </left>
      <right/>
      <top/>
      <bottom style="thin">
        <color indexed="64"/>
      </bottom>
      <diagonal/>
    </border>
    <border>
      <left/>
      <right/>
      <top style="thin">
        <color rgb="FF000000"/>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43" fontId="5" fillId="0" borderId="0" applyFont="0" applyFill="0" applyBorder="0" applyAlignment="0" applyProtection="0"/>
    <xf numFmtId="44" fontId="5" fillId="0" borderId="0" applyFont="0" applyFill="0" applyBorder="0" applyAlignment="0" applyProtection="0"/>
    <xf numFmtId="9" fontId="9" fillId="0" borderId="0" applyFont="0" applyFill="0" applyBorder="0" applyAlignment="0" applyProtection="0"/>
  </cellStyleXfs>
  <cellXfs count="271">
    <xf numFmtId="0" fontId="0" fillId="0" borderId="0" xfId="0"/>
    <xf numFmtId="0" fontId="2" fillId="0" borderId="0" xfId="0" applyFont="1"/>
    <xf numFmtId="0" fontId="3" fillId="0" borderId="0" xfId="0" applyFont="1"/>
    <xf numFmtId="9" fontId="4" fillId="0" borderId="0" xfId="0" applyNumberFormat="1" applyFont="1" applyAlignment="1">
      <alignment horizontal="right"/>
    </xf>
    <xf numFmtId="165" fontId="4" fillId="0" borderId="0" xfId="0" applyNumberFormat="1" applyFont="1" applyAlignment="1">
      <alignment horizontal="right"/>
    </xf>
    <xf numFmtId="3" fontId="3" fillId="0" borderId="0" xfId="0" applyNumberFormat="1" applyFont="1"/>
    <xf numFmtId="171" fontId="3" fillId="0" borderId="0" xfId="0" applyNumberFormat="1" applyFont="1"/>
    <xf numFmtId="44" fontId="3" fillId="0" borderId="0" xfId="2" applyFont="1"/>
    <xf numFmtId="170" fontId="3" fillId="0" borderId="1" xfId="0" applyNumberFormat="1" applyFont="1" applyBorder="1" applyAlignment="1">
      <alignment horizontal="right"/>
    </xf>
    <xf numFmtId="3" fontId="3" fillId="0" borderId="1" xfId="0" applyNumberFormat="1" applyFont="1" applyBorder="1"/>
    <xf numFmtId="0" fontId="2" fillId="0" borderId="1" xfId="0" applyFont="1" applyBorder="1"/>
    <xf numFmtId="0" fontId="3" fillId="0" borderId="1" xfId="0" applyFont="1" applyBorder="1"/>
    <xf numFmtId="172" fontId="3" fillId="0" borderId="0" xfId="2" applyNumberFormat="1" applyFont="1"/>
    <xf numFmtId="164" fontId="3" fillId="0" borderId="1" xfId="0" applyNumberFormat="1" applyFont="1" applyBorder="1"/>
    <xf numFmtId="0" fontId="3" fillId="7" borderId="1" xfId="0" applyFont="1" applyFill="1" applyBorder="1"/>
    <xf numFmtId="3" fontId="3" fillId="7" borderId="1" xfId="0" applyNumberFormat="1" applyFont="1" applyFill="1" applyBorder="1"/>
    <xf numFmtId="166" fontId="3" fillId="0" borderId="1" xfId="0" applyNumberFormat="1" applyFont="1" applyBorder="1"/>
    <xf numFmtId="0" fontId="3" fillId="0" borderId="1" xfId="1" applyNumberFormat="1" applyFont="1" applyBorder="1" applyAlignment="1">
      <alignment horizontal="right"/>
    </xf>
    <xf numFmtId="0" fontId="2" fillId="0" borderId="1" xfId="0" applyFont="1" applyBorder="1" applyAlignment="1">
      <alignment horizontal="center"/>
    </xf>
    <xf numFmtId="172" fontId="3" fillId="0" borderId="1" xfId="2" applyNumberFormat="1" applyFont="1" applyBorder="1" applyAlignment="1">
      <alignment horizontal="right"/>
    </xf>
    <xf numFmtId="172" fontId="3" fillId="0" borderId="1" xfId="0" applyNumberFormat="1" applyFont="1" applyBorder="1" applyAlignment="1">
      <alignment horizontal="right"/>
    </xf>
    <xf numFmtId="0" fontId="3" fillId="7" borderId="1" xfId="0" applyFont="1" applyFill="1" applyBorder="1" applyAlignment="1">
      <alignment horizontal="right"/>
    </xf>
    <xf numFmtId="0" fontId="3" fillId="0" borderId="8" xfId="0" applyFont="1" applyBorder="1" applyAlignment="1">
      <alignment horizontal="center"/>
    </xf>
    <xf numFmtId="0" fontId="3" fillId="0" borderId="8" xfId="0" applyFont="1" applyBorder="1"/>
    <xf numFmtId="0" fontId="2" fillId="0" borderId="8" xfId="0" applyFont="1" applyBorder="1" applyAlignment="1">
      <alignment horizontal="center"/>
    </xf>
    <xf numFmtId="172" fontId="3" fillId="9" borderId="1" xfId="2" applyNumberFormat="1" applyFont="1" applyFill="1" applyBorder="1"/>
    <xf numFmtId="172" fontId="3" fillId="0" borderId="1" xfId="2" applyNumberFormat="1" applyFont="1" applyBorder="1"/>
    <xf numFmtId="172" fontId="3" fillId="0" borderId="1" xfId="2" applyNumberFormat="1" applyFont="1" applyFill="1" applyBorder="1"/>
    <xf numFmtId="0" fontId="3" fillId="0" borderId="10" xfId="0" applyFont="1" applyBorder="1"/>
    <xf numFmtId="0" fontId="3" fillId="0" borderId="11" xfId="0" applyFont="1" applyBorder="1"/>
    <xf numFmtId="0" fontId="3" fillId="2" borderId="12" xfId="0" applyFont="1" applyFill="1" applyBorder="1" applyAlignment="1">
      <alignment horizontal="right"/>
    </xf>
    <xf numFmtId="0" fontId="3" fillId="4" borderId="12" xfId="0" applyFont="1" applyFill="1" applyBorder="1" applyAlignment="1">
      <alignment horizontal="right"/>
    </xf>
    <xf numFmtId="0" fontId="2" fillId="0" borderId="11" xfId="0" applyFont="1" applyBorder="1"/>
    <xf numFmtId="0" fontId="3" fillId="0" borderId="12" xfId="0" applyFont="1" applyBorder="1"/>
    <xf numFmtId="0" fontId="3" fillId="0" borderId="13" xfId="0" applyFont="1" applyBorder="1"/>
    <xf numFmtId="167" fontId="4" fillId="0" borderId="12" xfId="0" applyNumberFormat="1" applyFont="1" applyBorder="1" applyAlignment="1">
      <alignment horizontal="right"/>
    </xf>
    <xf numFmtId="170" fontId="4" fillId="0" borderId="12" xfId="0" applyNumberFormat="1" applyFont="1" applyBorder="1" applyAlignment="1">
      <alignment horizontal="right"/>
    </xf>
    <xf numFmtId="170" fontId="3" fillId="0" borderId="12" xfId="0" applyNumberFormat="1" applyFont="1" applyBorder="1"/>
    <xf numFmtId="172" fontId="3" fillId="0" borderId="12" xfId="2" applyNumberFormat="1" applyFont="1" applyBorder="1"/>
    <xf numFmtId="10" fontId="4" fillId="0" borderId="12" xfId="3" applyNumberFormat="1" applyFont="1" applyBorder="1"/>
    <xf numFmtId="0" fontId="3" fillId="0" borderId="15" xfId="0" applyFont="1" applyBorder="1"/>
    <xf numFmtId="0" fontId="2" fillId="0" borderId="12" xfId="0" applyFont="1" applyBorder="1" applyAlignment="1">
      <alignment horizontal="center"/>
    </xf>
    <xf numFmtId="172" fontId="3" fillId="0" borderId="12" xfId="0" applyNumberFormat="1" applyFont="1" applyBorder="1" applyAlignment="1">
      <alignment horizontal="right"/>
    </xf>
    <xf numFmtId="170" fontId="3" fillId="0" borderId="12" xfId="0" applyNumberFormat="1" applyFont="1" applyBorder="1" applyAlignment="1">
      <alignment horizontal="right"/>
    </xf>
    <xf numFmtId="170" fontId="3" fillId="0" borderId="16" xfId="0" applyNumberFormat="1" applyFont="1" applyBorder="1" applyAlignment="1">
      <alignment horizontal="right"/>
    </xf>
    <xf numFmtId="170" fontId="3" fillId="0" borderId="14" xfId="0" applyNumberFormat="1" applyFont="1" applyBorder="1" applyAlignment="1">
      <alignment horizontal="right"/>
    </xf>
    <xf numFmtId="172" fontId="3" fillId="0" borderId="12" xfId="2" applyNumberFormat="1" applyFont="1" applyFill="1" applyBorder="1"/>
    <xf numFmtId="172" fontId="3" fillId="0" borderId="16" xfId="2" applyNumberFormat="1" applyFont="1" applyBorder="1"/>
    <xf numFmtId="172" fontId="3" fillId="0" borderId="14" xfId="2" applyNumberFormat="1" applyFont="1" applyBorder="1"/>
    <xf numFmtId="0" fontId="4" fillId="0" borderId="11" xfId="0" applyFont="1" applyBorder="1"/>
    <xf numFmtId="0" fontId="3" fillId="0" borderId="14" xfId="0" applyFont="1" applyBorder="1"/>
    <xf numFmtId="0" fontId="3" fillId="2" borderId="11" xfId="0" applyFont="1" applyFill="1" applyBorder="1"/>
    <xf numFmtId="172" fontId="3" fillId="0" borderId="0" xfId="0" applyNumberFormat="1" applyFont="1"/>
    <xf numFmtId="0" fontId="10" fillId="0" borderId="0" xfId="0" applyFont="1"/>
    <xf numFmtId="0" fontId="8" fillId="0" borderId="0" xfId="0" applyFont="1"/>
    <xf numFmtId="0" fontId="2" fillId="0" borderId="3" xfId="0" applyFont="1" applyBorder="1"/>
    <xf numFmtId="172" fontId="3" fillId="0" borderId="3" xfId="2" applyNumberFormat="1" applyFont="1" applyBorder="1"/>
    <xf numFmtId="0" fontId="3" fillId="0" borderId="0" xfId="0" applyFont="1" applyAlignment="1">
      <alignment horizontal="left" indent="1"/>
    </xf>
    <xf numFmtId="172" fontId="3" fillId="0" borderId="6" xfId="2" applyNumberFormat="1" applyFont="1" applyBorder="1"/>
    <xf numFmtId="172" fontId="3" fillId="0" borderId="7" xfId="2" applyNumberFormat="1" applyFont="1" applyBorder="1"/>
    <xf numFmtId="170" fontId="4" fillId="0" borderId="14" xfId="0" applyNumberFormat="1" applyFont="1" applyBorder="1" applyAlignment="1">
      <alignment horizontal="right"/>
    </xf>
    <xf numFmtId="0" fontId="13" fillId="0" borderId="12" xfId="0" applyFont="1" applyBorder="1" applyAlignment="1">
      <alignment horizontal="right"/>
    </xf>
    <xf numFmtId="168" fontId="4" fillId="0" borderId="12" xfId="0" applyNumberFormat="1" applyFont="1" applyBorder="1" applyAlignment="1">
      <alignment horizontal="right"/>
    </xf>
    <xf numFmtId="172" fontId="4" fillId="0" borderId="12" xfId="2" applyNumberFormat="1" applyFont="1" applyFill="1" applyBorder="1"/>
    <xf numFmtId="44" fontId="4" fillId="0" borderId="12" xfId="2" applyFont="1" applyBorder="1"/>
    <xf numFmtId="3" fontId="4" fillId="0" borderId="12" xfId="0" applyNumberFormat="1" applyFont="1" applyBorder="1"/>
    <xf numFmtId="172" fontId="4" fillId="0" borderId="12" xfId="2" applyNumberFormat="1" applyFont="1" applyBorder="1"/>
    <xf numFmtId="0" fontId="4" fillId="0" borderId="12" xfId="0" applyFont="1" applyBorder="1"/>
    <xf numFmtId="172" fontId="3" fillId="0" borderId="14" xfId="2" applyNumberFormat="1" applyFont="1" applyFill="1" applyBorder="1"/>
    <xf numFmtId="0" fontId="3" fillId="0" borderId="0" xfId="0" quotePrefix="1" applyFont="1"/>
    <xf numFmtId="6" fontId="3" fillId="0" borderId="1" xfId="0" applyNumberFormat="1" applyFont="1" applyBorder="1"/>
    <xf numFmtId="0" fontId="3" fillId="0" borderId="5" xfId="0" applyFont="1" applyBorder="1"/>
    <xf numFmtId="0" fontId="3" fillId="0" borderId="21" xfId="0" applyFont="1" applyBorder="1"/>
    <xf numFmtId="172" fontId="3" fillId="0" borderId="16" xfId="2" applyNumberFormat="1" applyFont="1" applyFill="1" applyBorder="1"/>
    <xf numFmtId="0" fontId="4" fillId="0" borderId="12" xfId="0" applyFont="1" applyBorder="1" applyAlignment="1">
      <alignment horizontal="right"/>
    </xf>
    <xf numFmtId="1" fontId="3" fillId="0" borderId="5" xfId="0" applyNumberFormat="1" applyFont="1" applyBorder="1"/>
    <xf numFmtId="1" fontId="3" fillId="0" borderId="21" xfId="0" applyNumberFormat="1" applyFont="1" applyBorder="1"/>
    <xf numFmtId="0" fontId="3" fillId="7" borderId="20" xfId="0" applyFont="1" applyFill="1" applyBorder="1"/>
    <xf numFmtId="172" fontId="3" fillId="0" borderId="20" xfId="2" applyNumberFormat="1" applyFont="1" applyBorder="1"/>
    <xf numFmtId="172" fontId="3" fillId="0" borderId="22" xfId="2" applyNumberFormat="1" applyFont="1" applyBorder="1"/>
    <xf numFmtId="172" fontId="3" fillId="0" borderId="23" xfId="2" applyNumberFormat="1" applyFont="1" applyBorder="1"/>
    <xf numFmtId="0" fontId="2" fillId="0" borderId="5" xfId="0" applyFont="1" applyBorder="1" applyAlignment="1">
      <alignment horizontal="center"/>
    </xf>
    <xf numFmtId="0" fontId="2" fillId="0" borderId="20" xfId="0" applyFont="1" applyBorder="1" applyAlignment="1">
      <alignment horizontal="center"/>
    </xf>
    <xf numFmtId="43" fontId="3" fillId="0" borderId="0" xfId="1" applyFont="1"/>
    <xf numFmtId="172" fontId="3" fillId="0" borderId="1" xfId="0" applyNumberFormat="1" applyFont="1" applyBorder="1"/>
    <xf numFmtId="172" fontId="3" fillId="5" borderId="0" xfId="2" applyNumberFormat="1" applyFont="1" applyFill="1"/>
    <xf numFmtId="172" fontId="3" fillId="11" borderId="0" xfId="2" applyNumberFormat="1" applyFont="1" applyFill="1"/>
    <xf numFmtId="172" fontId="3" fillId="10" borderId="0" xfId="2" applyNumberFormat="1" applyFont="1" applyFill="1"/>
    <xf numFmtId="172" fontId="3" fillId="12" borderId="0" xfId="2" applyNumberFormat="1" applyFont="1" applyFill="1"/>
    <xf numFmtId="172" fontId="3" fillId="13" borderId="0" xfId="2" applyNumberFormat="1" applyFont="1" applyFill="1"/>
    <xf numFmtId="3" fontId="3" fillId="8" borderId="20" xfId="0" applyNumberFormat="1" applyFont="1" applyFill="1" applyBorder="1"/>
    <xf numFmtId="172" fontId="3" fillId="0" borderId="2" xfId="2" applyNumberFormat="1" applyFont="1" applyBorder="1"/>
    <xf numFmtId="0" fontId="2" fillId="0" borderId="4" xfId="0" applyFont="1" applyBorder="1"/>
    <xf numFmtId="172" fontId="3" fillId="0" borderId="20" xfId="2" applyNumberFormat="1" applyFont="1" applyFill="1" applyBorder="1"/>
    <xf numFmtId="1" fontId="3" fillId="0" borderId="1" xfId="0" applyNumberFormat="1" applyFont="1" applyBorder="1"/>
    <xf numFmtId="0" fontId="3" fillId="0" borderId="5" xfId="0" applyFont="1" applyBorder="1" applyAlignment="1">
      <alignment horizontal="center"/>
    </xf>
    <xf numFmtId="3" fontId="3" fillId="0" borderId="5" xfId="0" applyNumberFormat="1" applyFont="1" applyBorder="1" applyAlignment="1">
      <alignment horizontal="center"/>
    </xf>
    <xf numFmtId="3" fontId="3" fillId="0" borderId="21" xfId="0" applyNumberFormat="1" applyFont="1" applyBorder="1" applyAlignment="1">
      <alignment horizontal="center"/>
    </xf>
    <xf numFmtId="0" fontId="3" fillId="0" borderId="21" xfId="0" applyFont="1" applyBorder="1" applyAlignment="1">
      <alignment horizontal="center"/>
    </xf>
    <xf numFmtId="3" fontId="2" fillId="0" borderId="1" xfId="0" applyNumberFormat="1" applyFont="1" applyBorder="1" applyAlignment="1">
      <alignment horizontal="center"/>
    </xf>
    <xf numFmtId="0" fontId="0" fillId="15" borderId="1" xfId="0" applyFill="1" applyBorder="1"/>
    <xf numFmtId="0" fontId="1" fillId="15" borderId="1" xfId="0" applyFont="1" applyFill="1" applyBorder="1"/>
    <xf numFmtId="0" fontId="0" fillId="15" borderId="1" xfId="0" applyFill="1" applyBorder="1" applyAlignment="1">
      <alignment wrapText="1"/>
    </xf>
    <xf numFmtId="0" fontId="0" fillId="15" borderId="0" xfId="0" applyFill="1"/>
    <xf numFmtId="0" fontId="0" fillId="15" borderId="1" xfId="0" applyFill="1" applyBorder="1" applyAlignment="1">
      <alignment horizontal="centerContinuous" wrapText="1"/>
    </xf>
    <xf numFmtId="0" fontId="0" fillId="15" borderId="0" xfId="0" applyFill="1" applyAlignment="1">
      <alignment wrapText="1"/>
    </xf>
    <xf numFmtId="0" fontId="1" fillId="15" borderId="0" xfId="0" applyFont="1" applyFill="1"/>
    <xf numFmtId="0" fontId="6" fillId="0" borderId="0" xfId="0" applyFont="1" applyAlignment="1">
      <alignment wrapText="1"/>
    </xf>
    <xf numFmtId="0" fontId="2" fillId="16" borderId="17" xfId="0" applyFont="1" applyFill="1" applyBorder="1"/>
    <xf numFmtId="0" fontId="2" fillId="16" borderId="18" xfId="0" applyFont="1" applyFill="1" applyBorder="1"/>
    <xf numFmtId="0" fontId="2" fillId="16" borderId="19" xfId="0" applyFont="1" applyFill="1" applyBorder="1"/>
    <xf numFmtId="0" fontId="2" fillId="16" borderId="17" xfId="0" applyFont="1" applyFill="1" applyBorder="1" applyAlignment="1">
      <alignment horizontal="centerContinuous"/>
    </xf>
    <xf numFmtId="0" fontId="2" fillId="16" borderId="18" xfId="0" applyFont="1" applyFill="1" applyBorder="1" applyAlignment="1">
      <alignment horizontal="centerContinuous"/>
    </xf>
    <xf numFmtId="0" fontId="2" fillId="16" borderId="19" xfId="0" applyFont="1" applyFill="1" applyBorder="1" applyAlignment="1">
      <alignment horizontal="centerContinuous"/>
    </xf>
    <xf numFmtId="0" fontId="3" fillId="16" borderId="18" xfId="0" applyFont="1" applyFill="1" applyBorder="1" applyAlignment="1">
      <alignment horizontal="centerContinuous"/>
    </xf>
    <xf numFmtId="0" fontId="3" fillId="16" borderId="19" xfId="0" applyFont="1" applyFill="1" applyBorder="1" applyAlignment="1">
      <alignment horizontal="centerContinuous"/>
    </xf>
    <xf numFmtId="0" fontId="2" fillId="16" borderId="9" xfId="0" applyFont="1" applyFill="1" applyBorder="1"/>
    <xf numFmtId="0" fontId="3" fillId="16" borderId="15" xfId="0" applyFont="1" applyFill="1" applyBorder="1"/>
    <xf numFmtId="0" fontId="3" fillId="16" borderId="10" xfId="0" applyFont="1" applyFill="1" applyBorder="1"/>
    <xf numFmtId="0" fontId="3" fillId="0" borderId="9" xfId="0" applyFont="1" applyBorder="1"/>
    <xf numFmtId="0" fontId="2" fillId="0" borderId="16" xfId="0" applyFont="1" applyBorder="1"/>
    <xf numFmtId="9" fontId="4" fillId="0" borderId="1" xfId="0" applyNumberFormat="1" applyFont="1" applyBorder="1" applyAlignment="1">
      <alignment horizontal="right"/>
    </xf>
    <xf numFmtId="0" fontId="11" fillId="0" borderId="11" xfId="0" applyFont="1" applyBorder="1"/>
    <xf numFmtId="0" fontId="8" fillId="0" borderId="11" xfId="0" applyFont="1" applyBorder="1"/>
    <xf numFmtId="0" fontId="15" fillId="16" borderId="8" xfId="0" applyFont="1" applyFill="1" applyBorder="1" applyAlignment="1">
      <alignment horizontal="centerContinuous"/>
    </xf>
    <xf numFmtId="0" fontId="2" fillId="16" borderId="8" xfId="0" applyFont="1" applyFill="1" applyBorder="1" applyAlignment="1">
      <alignment horizontal="centerContinuous"/>
    </xf>
    <xf numFmtId="0" fontId="2" fillId="0" borderId="10" xfId="0" applyFont="1" applyBorder="1"/>
    <xf numFmtId="0" fontId="2" fillId="0" borderId="24" xfId="0" applyFont="1" applyBorder="1"/>
    <xf numFmtId="0" fontId="2" fillId="0" borderId="8" xfId="0" applyFont="1" applyBorder="1"/>
    <xf numFmtId="1" fontId="3" fillId="0" borderId="8" xfId="0" applyNumberFormat="1" applyFont="1" applyBorder="1"/>
    <xf numFmtId="0" fontId="2" fillId="16" borderId="16" xfId="0" applyFont="1" applyFill="1" applyBorder="1"/>
    <xf numFmtId="0" fontId="3" fillId="16" borderId="16" xfId="0" applyFont="1" applyFill="1" applyBorder="1"/>
    <xf numFmtId="0" fontId="2" fillId="16" borderId="11" xfId="0" applyFont="1" applyFill="1" applyBorder="1"/>
    <xf numFmtId="0" fontId="3" fillId="16" borderId="1" xfId="0" applyFont="1" applyFill="1" applyBorder="1"/>
    <xf numFmtId="0" fontId="19" fillId="15" borderId="0" xfId="0" applyFont="1" applyFill="1"/>
    <xf numFmtId="0" fontId="3" fillId="0" borderId="0" xfId="1" applyNumberFormat="1" applyFont="1" applyAlignment="1">
      <alignment horizontal="right"/>
    </xf>
    <xf numFmtId="170" fontId="3" fillId="0" borderId="8" xfId="0" applyNumberFormat="1" applyFont="1" applyBorder="1" applyAlignment="1">
      <alignment horizontal="right"/>
    </xf>
    <xf numFmtId="170" fontId="2" fillId="16" borderId="8" xfId="0" applyNumberFormat="1" applyFont="1" applyFill="1" applyBorder="1" applyAlignment="1">
      <alignment horizontal="right"/>
    </xf>
    <xf numFmtId="0" fontId="4" fillId="0" borderId="1" xfId="0" applyFont="1" applyBorder="1"/>
    <xf numFmtId="0" fontId="3" fillId="3" borderId="13" xfId="0" applyFont="1" applyFill="1" applyBorder="1"/>
    <xf numFmtId="0" fontId="2" fillId="16" borderId="1" xfId="0" applyFont="1" applyFill="1" applyBorder="1"/>
    <xf numFmtId="0" fontId="3" fillId="6" borderId="10" xfId="0" applyFont="1" applyFill="1" applyBorder="1" applyAlignment="1">
      <alignment horizontal="right"/>
    </xf>
    <xf numFmtId="171" fontId="4" fillId="0" borderId="12" xfId="0" applyNumberFormat="1" applyFont="1" applyBorder="1"/>
    <xf numFmtId="0" fontId="4" fillId="0" borderId="14" xfId="0" applyFont="1" applyBorder="1"/>
    <xf numFmtId="0" fontId="2" fillId="16" borderId="0" xfId="0" applyFont="1" applyFill="1"/>
    <xf numFmtId="0" fontId="3" fillId="16" borderId="0" xfId="0" applyFont="1" applyFill="1"/>
    <xf numFmtId="0" fontId="4" fillId="0" borderId="10" xfId="0" applyFont="1" applyBorder="1"/>
    <xf numFmtId="0" fontId="3" fillId="6" borderId="12" xfId="0" applyFont="1" applyFill="1" applyBorder="1" applyAlignment="1">
      <alignment horizontal="right"/>
    </xf>
    <xf numFmtId="172" fontId="3" fillId="6" borderId="12" xfId="2" applyNumberFormat="1" applyFont="1" applyFill="1" applyBorder="1"/>
    <xf numFmtId="44" fontId="3" fillId="0" borderId="14" xfId="2" applyFont="1" applyBorder="1"/>
    <xf numFmtId="9" fontId="4" fillId="0" borderId="12" xfId="0" applyNumberFormat="1" applyFont="1" applyBorder="1"/>
    <xf numFmtId="9" fontId="4" fillId="0" borderId="14" xfId="0" applyNumberFormat="1" applyFont="1" applyBorder="1"/>
    <xf numFmtId="44" fontId="4" fillId="0" borderId="10" xfId="2" applyFont="1" applyBorder="1"/>
    <xf numFmtId="172" fontId="4" fillId="0" borderId="14" xfId="2" applyNumberFormat="1" applyFont="1" applyBorder="1"/>
    <xf numFmtId="172" fontId="4" fillId="0" borderId="10" xfId="2" applyNumberFormat="1" applyFont="1" applyBorder="1"/>
    <xf numFmtId="0" fontId="8" fillId="0" borderId="9" xfId="0" applyFont="1" applyBorder="1"/>
    <xf numFmtId="172" fontId="3" fillId="0" borderId="12" xfId="0" applyNumberFormat="1" applyFont="1" applyBorder="1"/>
    <xf numFmtId="0" fontId="8" fillId="0" borderId="1" xfId="0" applyFont="1" applyBorder="1"/>
    <xf numFmtId="0" fontId="7" fillId="0" borderId="15" xfId="0" applyFont="1" applyBorder="1"/>
    <xf numFmtId="0" fontId="3" fillId="7" borderId="8" xfId="0" applyFont="1" applyFill="1" applyBorder="1"/>
    <xf numFmtId="167" fontId="4" fillId="0" borderId="10" xfId="3" applyNumberFormat="1" applyFont="1" applyBorder="1"/>
    <xf numFmtId="167" fontId="4" fillId="0" borderId="12" xfId="3" applyNumberFormat="1" applyFont="1" applyBorder="1"/>
    <xf numFmtId="167" fontId="4" fillId="0" borderId="10" xfId="0" applyNumberFormat="1" applyFont="1" applyBorder="1" applyAlignment="1">
      <alignment horizontal="right"/>
    </xf>
    <xf numFmtId="167" fontId="4" fillId="0" borderId="14" xfId="3" applyNumberFormat="1" applyFont="1" applyBorder="1"/>
    <xf numFmtId="167" fontId="4" fillId="0" borderId="12" xfId="0" applyNumberFormat="1" applyFont="1" applyBorder="1"/>
    <xf numFmtId="167" fontId="4" fillId="0" borderId="14" xfId="0" applyNumberFormat="1" applyFont="1" applyBorder="1"/>
    <xf numFmtId="0" fontId="3" fillId="0" borderId="8" xfId="1" applyNumberFormat="1" applyFont="1" applyBorder="1" applyAlignment="1">
      <alignment horizontal="right"/>
    </xf>
    <xf numFmtId="0" fontId="21" fillId="0" borderId="11" xfId="0" applyFont="1" applyBorder="1"/>
    <xf numFmtId="172" fontId="21" fillId="0" borderId="1" xfId="2" applyNumberFormat="1" applyFont="1" applyFill="1" applyBorder="1"/>
    <xf numFmtId="172" fontId="3" fillId="0" borderId="22" xfId="2" applyNumberFormat="1" applyFont="1" applyFill="1" applyBorder="1"/>
    <xf numFmtId="172" fontId="21" fillId="0" borderId="20" xfId="2" applyNumberFormat="1" applyFont="1" applyBorder="1"/>
    <xf numFmtId="172" fontId="21" fillId="0" borderId="23" xfId="2" applyNumberFormat="1" applyFont="1" applyBorder="1"/>
    <xf numFmtId="169" fontId="21" fillId="0" borderId="1" xfId="1" applyNumberFormat="1" applyFont="1" applyBorder="1"/>
    <xf numFmtId="169" fontId="21" fillId="0" borderId="22" xfId="1" applyNumberFormat="1" applyFont="1" applyBorder="1"/>
    <xf numFmtId="164" fontId="21" fillId="0" borderId="1" xfId="0" applyNumberFormat="1" applyFont="1" applyBorder="1" applyAlignment="1">
      <alignment horizontal="center"/>
    </xf>
    <xf numFmtId="164" fontId="21" fillId="0" borderId="20" xfId="0" applyNumberFormat="1" applyFont="1" applyBorder="1" applyAlignment="1">
      <alignment horizontal="center"/>
    </xf>
    <xf numFmtId="164" fontId="21" fillId="0" borderId="22" xfId="0" applyNumberFormat="1" applyFont="1" applyBorder="1" applyAlignment="1">
      <alignment horizontal="center"/>
    </xf>
    <xf numFmtId="164" fontId="21" fillId="0" borderId="23" xfId="0" applyNumberFormat="1" applyFont="1" applyBorder="1" applyAlignment="1">
      <alignment horizontal="center"/>
    </xf>
    <xf numFmtId="3" fontId="21" fillId="0" borderId="1" xfId="0" applyNumberFormat="1" applyFont="1" applyBorder="1"/>
    <xf numFmtId="3" fontId="21" fillId="0" borderId="22" xfId="0" applyNumberFormat="1" applyFont="1" applyBorder="1"/>
    <xf numFmtId="172" fontId="21" fillId="0" borderId="0" xfId="0" applyNumberFormat="1" applyFont="1"/>
    <xf numFmtId="3" fontId="21" fillId="0" borderId="0" xfId="0" applyNumberFormat="1" applyFont="1"/>
    <xf numFmtId="0" fontId="22" fillId="0" borderId="0" xfId="0" applyFont="1"/>
    <xf numFmtId="172" fontId="21" fillId="0" borderId="1" xfId="0" applyNumberFormat="1" applyFont="1" applyBorder="1"/>
    <xf numFmtId="172" fontId="3" fillId="0" borderId="26" xfId="0" applyNumberFormat="1" applyFont="1" applyBorder="1"/>
    <xf numFmtId="172" fontId="3" fillId="0" borderId="11" xfId="0" applyNumberFormat="1" applyFont="1" applyBorder="1"/>
    <xf numFmtId="172" fontId="21" fillId="0" borderId="11" xfId="0" applyNumberFormat="1" applyFont="1" applyBorder="1"/>
    <xf numFmtId="172" fontId="21" fillId="0" borderId="13" xfId="0" applyNumberFormat="1" applyFont="1" applyBorder="1"/>
    <xf numFmtId="172" fontId="21" fillId="0" borderId="16" xfId="0" applyNumberFormat="1" applyFont="1" applyBorder="1"/>
    <xf numFmtId="0" fontId="10" fillId="0" borderId="1" xfId="0" applyFont="1" applyBorder="1"/>
    <xf numFmtId="172" fontId="3" fillId="0" borderId="28" xfId="0" applyNumberFormat="1" applyFont="1" applyBorder="1"/>
    <xf numFmtId="172" fontId="3" fillId="0" borderId="29" xfId="0" applyNumberFormat="1" applyFont="1" applyBorder="1"/>
    <xf numFmtId="3" fontId="3" fillId="0" borderId="15" xfId="0" applyNumberFormat="1" applyFont="1" applyBorder="1"/>
    <xf numFmtId="3" fontId="3" fillId="0" borderId="29" xfId="0" applyNumberFormat="1" applyFont="1" applyBorder="1"/>
    <xf numFmtId="0" fontId="11" fillId="0" borderId="1" xfId="0" applyFont="1" applyBorder="1"/>
    <xf numFmtId="172" fontId="3" fillId="0" borderId="30" xfId="2" applyNumberFormat="1" applyFont="1" applyBorder="1"/>
    <xf numFmtId="172" fontId="3" fillId="0" borderId="31" xfId="2" applyNumberFormat="1" applyFont="1" applyBorder="1"/>
    <xf numFmtId="0" fontId="3" fillId="14" borderId="16" xfId="0" applyFont="1" applyFill="1" applyBorder="1"/>
    <xf numFmtId="172" fontId="3" fillId="14" borderId="16" xfId="2" applyNumberFormat="1" applyFont="1" applyFill="1" applyBorder="1"/>
    <xf numFmtId="172" fontId="21" fillId="0" borderId="1" xfId="2" applyNumberFormat="1" applyFont="1" applyBorder="1"/>
    <xf numFmtId="172" fontId="21" fillId="0" borderId="2" xfId="2" applyNumberFormat="1" applyFont="1" applyBorder="1"/>
    <xf numFmtId="172" fontId="21" fillId="0" borderId="16" xfId="2" applyNumberFormat="1" applyFont="1" applyBorder="1"/>
    <xf numFmtId="172" fontId="21" fillId="0" borderId="32" xfId="2" applyNumberFormat="1" applyFont="1" applyBorder="1"/>
    <xf numFmtId="172" fontId="3" fillId="0" borderId="11" xfId="2" applyNumberFormat="1" applyFont="1" applyBorder="1"/>
    <xf numFmtId="0" fontId="3" fillId="0" borderId="1" xfId="0" applyFont="1" applyBorder="1" applyAlignment="1">
      <alignment horizontal="left" indent="1"/>
    </xf>
    <xf numFmtId="0" fontId="2" fillId="0" borderId="1" xfId="0" applyFont="1" applyBorder="1" applyAlignment="1">
      <alignment horizontal="left"/>
    </xf>
    <xf numFmtId="172" fontId="21" fillId="0" borderId="0" xfId="2" applyNumberFormat="1" applyFont="1"/>
    <xf numFmtId="0" fontId="11" fillId="0" borderId="16" xfId="0" applyFont="1" applyBorder="1"/>
    <xf numFmtId="172" fontId="21" fillId="0" borderId="3" xfId="2" applyNumberFormat="1" applyFont="1" applyBorder="1"/>
    <xf numFmtId="172" fontId="3" fillId="0" borderId="15" xfId="2" applyNumberFormat="1" applyFont="1" applyBorder="1"/>
    <xf numFmtId="172" fontId="21" fillId="0" borderId="3" xfId="2" applyNumberFormat="1" applyFont="1" applyFill="1" applyBorder="1"/>
    <xf numFmtId="0" fontId="12" fillId="0" borderId="1" xfId="0" applyFont="1" applyBorder="1"/>
    <xf numFmtId="0" fontId="25" fillId="0" borderId="0" xfId="0" applyFont="1"/>
    <xf numFmtId="0" fontId="3" fillId="0" borderId="0" xfId="0" applyFont="1" applyAlignment="1">
      <alignment horizontal="centerContinuous"/>
    </xf>
    <xf numFmtId="172" fontId="21" fillId="0" borderId="22" xfId="2" applyNumberFormat="1" applyFont="1" applyBorder="1"/>
    <xf numFmtId="44" fontId="21" fillId="0" borderId="20" xfId="2" applyFont="1" applyFill="1" applyBorder="1"/>
    <xf numFmtId="0" fontId="10" fillId="0" borderId="1" xfId="0" applyFont="1" applyBorder="1" applyAlignment="1">
      <alignment horizontal="left" indent="1"/>
    </xf>
    <xf numFmtId="44" fontId="21" fillId="0" borderId="33" xfId="2" applyFont="1" applyFill="1" applyBorder="1"/>
    <xf numFmtId="0" fontId="14" fillId="0" borderId="0" xfId="0" applyFont="1"/>
    <xf numFmtId="0" fontId="17" fillId="15" borderId="1" xfId="0" applyFont="1" applyFill="1" applyBorder="1"/>
    <xf numFmtId="0" fontId="26" fillId="15" borderId="1" xfId="0" applyFont="1" applyFill="1" applyBorder="1"/>
    <xf numFmtId="0" fontId="27" fillId="15" borderId="1" xfId="0" applyFont="1" applyFill="1" applyBorder="1"/>
    <xf numFmtId="0" fontId="28" fillId="15" borderId="1" xfId="0" applyFont="1" applyFill="1" applyBorder="1"/>
    <xf numFmtId="0" fontId="17" fillId="15" borderId="8" xfId="0" applyFont="1" applyFill="1" applyBorder="1" applyAlignment="1">
      <alignment horizontal="centerContinuous" vertical="top" wrapText="1"/>
    </xf>
    <xf numFmtId="0" fontId="0" fillId="15" borderId="27" xfId="0" applyFill="1" applyBorder="1" applyAlignment="1">
      <alignment horizontal="centerContinuous" wrapText="1"/>
    </xf>
    <xf numFmtId="0" fontId="0" fillId="15" borderId="25" xfId="0" applyFill="1" applyBorder="1" applyAlignment="1">
      <alignment horizontal="centerContinuous"/>
    </xf>
    <xf numFmtId="172" fontId="21" fillId="0" borderId="12" xfId="0" applyNumberFormat="1" applyFont="1" applyBorder="1"/>
    <xf numFmtId="172" fontId="3" fillId="0" borderId="0" xfId="2" applyNumberFormat="1" applyFont="1" applyAlignment="1">
      <alignment horizontal="right"/>
    </xf>
    <xf numFmtId="172" fontId="3" fillId="0" borderId="16" xfId="2" applyNumberFormat="1" applyFont="1" applyBorder="1" applyAlignment="1">
      <alignment horizontal="right"/>
    </xf>
    <xf numFmtId="0" fontId="3" fillId="0" borderId="0" xfId="0" applyFont="1" applyAlignment="1">
      <alignment wrapText="1"/>
    </xf>
    <xf numFmtId="44" fontId="3" fillId="0" borderId="0" xfId="2" applyFont="1" applyAlignment="1">
      <alignment wrapText="1"/>
    </xf>
    <xf numFmtId="0" fontId="2" fillId="0" borderId="0" xfId="0" applyFont="1" applyAlignment="1">
      <alignment wrapText="1"/>
    </xf>
    <xf numFmtId="9" fontId="4" fillId="0" borderId="1" xfId="0" applyNumberFormat="1" applyFont="1" applyBorder="1"/>
    <xf numFmtId="0" fontId="3" fillId="0" borderId="0" xfId="0" applyFont="1" applyAlignment="1">
      <alignment horizontal="center"/>
    </xf>
    <xf numFmtId="0" fontId="3" fillId="0" borderId="0" xfId="0" applyFont="1" applyAlignment="1">
      <alignment horizontal="center" vertical="top"/>
    </xf>
    <xf numFmtId="0" fontId="3" fillId="0" borderId="34" xfId="0" applyFont="1" applyBorder="1"/>
    <xf numFmtId="0" fontId="3" fillId="0" borderId="34" xfId="1" applyNumberFormat="1" applyFont="1" applyBorder="1" applyAlignment="1">
      <alignment horizontal="right"/>
    </xf>
    <xf numFmtId="0" fontId="23" fillId="15" borderId="1" xfId="0" applyFont="1" applyFill="1" applyBorder="1"/>
    <xf numFmtId="0" fontId="30" fillId="15" borderId="35" xfId="0" applyFont="1" applyFill="1" applyBorder="1" applyAlignment="1">
      <alignment horizontal="centerContinuous" vertical="top" wrapText="1"/>
    </xf>
    <xf numFmtId="0" fontId="0" fillId="15" borderId="27" xfId="0" applyFill="1" applyBorder="1" applyAlignment="1">
      <alignment horizontal="centerContinuous" vertical="top" wrapText="1"/>
    </xf>
    <xf numFmtId="0" fontId="0" fillId="15" borderId="25" xfId="0" applyFill="1" applyBorder="1" applyAlignment="1">
      <alignment horizontal="centerContinuous" vertical="top" wrapText="1"/>
    </xf>
    <xf numFmtId="170" fontId="3" fillId="0" borderId="8" xfId="2" applyNumberFormat="1" applyFont="1" applyBorder="1"/>
    <xf numFmtId="170" fontId="2" fillId="16" borderId="8" xfId="2" applyNumberFormat="1" applyFont="1" applyFill="1" applyBorder="1"/>
    <xf numFmtId="165" fontId="3" fillId="0" borderId="0" xfId="0" applyNumberFormat="1" applyFont="1" applyAlignment="1">
      <alignment horizontal="left"/>
    </xf>
    <xf numFmtId="0" fontId="3" fillId="0" borderId="0" xfId="0" applyFont="1" applyAlignment="1">
      <alignment horizontal="centerContinuous" shrinkToFit="1"/>
    </xf>
    <xf numFmtId="172" fontId="13" fillId="0" borderId="12" xfId="0" applyNumberFormat="1" applyFont="1" applyBorder="1"/>
    <xf numFmtId="165" fontId="3" fillId="0" borderId="0" xfId="0" applyNumberFormat="1" applyFont="1"/>
    <xf numFmtId="172" fontId="3" fillId="0" borderId="9" xfId="0" applyNumberFormat="1" applyFont="1" applyBorder="1"/>
    <xf numFmtId="0" fontId="3" fillId="0" borderId="0" xfId="0" applyFont="1" applyAlignment="1">
      <alignment horizontal="left" vertical="top" wrapText="1"/>
    </xf>
    <xf numFmtId="172" fontId="3" fillId="0" borderId="0" xfId="2" quotePrefix="1" applyNumberFormat="1" applyFont="1"/>
    <xf numFmtId="44" fontId="4" fillId="14" borderId="10" xfId="2" applyFont="1" applyFill="1" applyBorder="1"/>
    <xf numFmtId="172" fontId="3" fillId="0" borderId="23" xfId="2" applyNumberFormat="1" applyFont="1" applyFill="1" applyBorder="1"/>
    <xf numFmtId="0" fontId="3" fillId="17" borderId="11" xfId="0" applyFont="1" applyFill="1" applyBorder="1"/>
    <xf numFmtId="172" fontId="21" fillId="14" borderId="1" xfId="0" applyNumberFormat="1" applyFont="1" applyFill="1" applyBorder="1"/>
    <xf numFmtId="3" fontId="3" fillId="14" borderId="1" xfId="0" applyNumberFormat="1" applyFont="1" applyFill="1" applyBorder="1"/>
    <xf numFmtId="3" fontId="3" fillId="14" borderId="0" xfId="0" applyNumberFormat="1" applyFont="1" applyFill="1"/>
    <xf numFmtId="0" fontId="3" fillId="14" borderId="1" xfId="0" applyFont="1" applyFill="1" applyBorder="1"/>
    <xf numFmtId="172" fontId="21" fillId="7" borderId="11" xfId="0" applyNumberFormat="1" applyFont="1" applyFill="1" applyBorder="1"/>
    <xf numFmtId="172" fontId="21" fillId="7" borderId="1" xfId="0" applyNumberFormat="1" applyFont="1" applyFill="1" applyBorder="1"/>
    <xf numFmtId="0" fontId="13" fillId="0" borderId="12" xfId="0" applyFont="1" applyBorder="1"/>
    <xf numFmtId="9" fontId="13" fillId="0" borderId="12" xfId="0" applyNumberFormat="1" applyFont="1" applyBorder="1"/>
    <xf numFmtId="0" fontId="33" fillId="14" borderId="12" xfId="0" applyFont="1" applyFill="1" applyBorder="1"/>
    <xf numFmtId="44" fontId="33" fillId="14" borderId="12" xfId="2" applyFont="1" applyFill="1" applyBorder="1"/>
    <xf numFmtId="44" fontId="33" fillId="14" borderId="14" xfId="2" applyFont="1" applyFill="1" applyBorder="1"/>
    <xf numFmtId="167" fontId="33" fillId="7" borderId="12" xfId="3" applyNumberFormat="1" applyFont="1" applyFill="1" applyBorder="1" applyAlignment="1">
      <alignment horizontal="right"/>
    </xf>
    <xf numFmtId="0" fontId="0" fillId="0" borderId="10" xfId="0" applyBorder="1"/>
    <xf numFmtId="0" fontId="0" fillId="0" borderId="12" xfId="0" applyBorder="1"/>
    <xf numFmtId="0" fontId="0" fillId="0" borderId="14" xfId="0" applyBorder="1"/>
    <xf numFmtId="0" fontId="34" fillId="0" borderId="9" xfId="0" applyFont="1" applyBorder="1"/>
    <xf numFmtId="0" fontId="34" fillId="0" borderId="11" xfId="0" applyFont="1" applyBorder="1"/>
    <xf numFmtId="0" fontId="34" fillId="0" borderId="13" xfId="0" applyFont="1" applyBorder="1"/>
  </cellXfs>
  <cellStyles count="4">
    <cellStyle name="Comma" xfId="1" builtinId="3"/>
    <cellStyle name="Currency" xfId="2" builtinId="4"/>
    <cellStyle name="Normal" xfId="0" builtinId="0"/>
    <cellStyle name="Percent" xfId="3" builtinId="5"/>
  </cellStyles>
  <dxfs count="3">
    <dxf>
      <font>
        <b val="0"/>
        <i val="0"/>
        <color theme="6" tint="-0.24994659260841701"/>
      </font>
      <fill>
        <patternFill>
          <bgColor rgb="FF78A779"/>
        </patternFill>
      </fill>
    </dxf>
    <dxf>
      <font>
        <color rgb="FF9C0006"/>
      </font>
      <fill>
        <patternFill>
          <bgColor rgb="FFFFC7CE"/>
        </patternFill>
      </fill>
    </dxf>
    <dxf>
      <font>
        <color rgb="FF006100"/>
      </font>
      <fill>
        <patternFill patternType="solid">
          <fgColor rgb="FFC6EFCE"/>
          <bgColor rgb="FFC6EFCE"/>
        </patternFill>
      </fill>
    </dxf>
  </dxfs>
  <tableStyles count="0" defaultTableStyle="TableStyleMedium2" defaultPivotStyle="PivotStyleLight16"/>
  <colors>
    <mruColors>
      <color rgb="FFB8C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ometv@student.ubc.ca" id="{58CD5754-D173-4AC8-AF1F-79752B98F8C2}" userId="S::dometv@student.ubc.ca::434e3b2d-5d8c-4b37-8a26-377b32530a56"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25" dT="2026-03-21T23:41:37.89" personId="{58CD5754-D173-4AC8-AF1F-79752B98F8C2}" id="{FB36B2AF-44DE-F047-94BF-42F745ED672B}">
    <text>i think these should go back to inputs</text>
  </threadedComment>
</ThreadedComment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B69C3-D598-43DF-8B4A-2C11C6A46465}">
  <dimension ref="A2:L45"/>
  <sheetViews>
    <sheetView workbookViewId="0">
      <selection activeCell="L13" sqref="L13"/>
    </sheetView>
  </sheetViews>
  <sheetFormatPr defaultColWidth="9.140625" defaultRowHeight="15"/>
  <cols>
    <col min="1" max="2" width="10.85546875" style="100" customWidth="1"/>
    <col min="3" max="10" width="9.140625" style="100"/>
    <col min="11" max="11" width="13.7109375" style="100" bestFit="1" customWidth="1"/>
    <col min="12" max="12" width="40.42578125" style="100" bestFit="1" customWidth="1"/>
    <col min="13" max="16384" width="9.140625" style="100"/>
  </cols>
  <sheetData>
    <row r="2" spans="2:12" ht="15.75">
      <c r="K2" s="220" t="s">
        <v>198</v>
      </c>
      <c r="L2" s="221" t="s">
        <v>196</v>
      </c>
    </row>
    <row r="3" spans="2:12" ht="15.75">
      <c r="K3" s="220" t="s">
        <v>199</v>
      </c>
      <c r="L3" s="221" t="s">
        <v>197</v>
      </c>
    </row>
    <row r="4" spans="2:12" ht="15.75">
      <c r="K4" s="220" t="s">
        <v>200</v>
      </c>
      <c r="L4" s="221" t="s">
        <v>306</v>
      </c>
    </row>
    <row r="5" spans="2:12" ht="15.75">
      <c r="K5" s="220" t="s">
        <v>201</v>
      </c>
      <c r="L5" s="222" t="s">
        <v>202</v>
      </c>
    </row>
    <row r="6" spans="2:12" ht="15.75">
      <c r="K6" s="222"/>
      <c r="L6" s="222" t="s">
        <v>203</v>
      </c>
    </row>
    <row r="7" spans="2:12" ht="15.75">
      <c r="K7" s="222"/>
      <c r="L7" s="222" t="s">
        <v>204</v>
      </c>
    </row>
    <row r="8" spans="2:12" ht="15.75">
      <c r="K8" s="222"/>
      <c r="L8" s="222" t="s">
        <v>205</v>
      </c>
    </row>
    <row r="9" spans="2:12" ht="15.75">
      <c r="K9" s="222"/>
      <c r="L9" s="222" t="s">
        <v>206</v>
      </c>
    </row>
    <row r="10" spans="2:12" ht="27.75">
      <c r="B10" s="101"/>
      <c r="C10" s="134" t="s">
        <v>301</v>
      </c>
    </row>
    <row r="13" spans="2:12" ht="172.5">
      <c r="C13" s="223" t="s">
        <v>307</v>
      </c>
      <c r="D13" s="224"/>
      <c r="E13" s="224"/>
      <c r="F13" s="224"/>
      <c r="G13" s="224"/>
      <c r="H13" s="224"/>
      <c r="I13" s="225"/>
    </row>
    <row r="14" spans="2:12">
      <c r="C14" s="104"/>
      <c r="D14" s="104"/>
      <c r="E14" s="104"/>
      <c r="F14" s="104"/>
      <c r="G14" s="104"/>
      <c r="H14" s="104"/>
    </row>
    <row r="15" spans="2:12" ht="36" customHeight="1">
      <c r="C15" s="104"/>
      <c r="D15" s="104"/>
      <c r="E15" s="104"/>
      <c r="F15" s="104"/>
      <c r="G15" s="104"/>
      <c r="H15" s="104"/>
    </row>
    <row r="16" spans="2:12" ht="189.75">
      <c r="C16" s="238" t="s">
        <v>308</v>
      </c>
      <c r="D16" s="239"/>
      <c r="E16" s="239"/>
      <c r="F16" s="239"/>
      <c r="G16" s="239"/>
      <c r="H16" s="239"/>
      <c r="I16" s="240"/>
    </row>
    <row r="17" spans="3:8">
      <c r="C17" s="102"/>
      <c r="D17" s="102"/>
      <c r="E17" s="105"/>
      <c r="F17" s="102"/>
      <c r="G17" s="102"/>
      <c r="H17" s="102"/>
    </row>
    <row r="18" spans="3:8">
      <c r="C18" s="102"/>
      <c r="D18" s="102"/>
      <c r="E18" s="102"/>
      <c r="F18" s="102"/>
      <c r="G18" s="102"/>
      <c r="H18" s="102"/>
    </row>
    <row r="19" spans="3:8">
      <c r="C19" s="102"/>
      <c r="D19" s="102"/>
      <c r="E19" s="102"/>
      <c r="F19" s="102"/>
      <c r="G19" s="102"/>
      <c r="H19" s="102"/>
    </row>
    <row r="20" spans="3:8">
      <c r="C20" s="102"/>
      <c r="D20" s="102"/>
      <c r="E20" s="102"/>
      <c r="F20" s="102"/>
      <c r="G20" s="102"/>
    </row>
    <row r="21" spans="3:8" ht="17.25">
      <c r="C21" s="237"/>
    </row>
    <row r="22" spans="3:8" ht="17.25">
      <c r="C22" s="219"/>
    </row>
    <row r="23" spans="3:8" ht="17.25">
      <c r="C23" s="219"/>
    </row>
    <row r="24" spans="3:8" ht="17.25">
      <c r="C24" s="219"/>
    </row>
    <row r="25" spans="3:8" ht="17.25">
      <c r="C25" s="219"/>
    </row>
    <row r="26" spans="3:8" ht="17.25">
      <c r="C26" s="219"/>
    </row>
    <row r="27" spans="3:8" ht="17.25">
      <c r="C27" s="219"/>
    </row>
    <row r="28" spans="3:8" ht="17.25">
      <c r="C28" s="219"/>
    </row>
    <row r="29" spans="3:8" ht="17.25">
      <c r="C29" s="219"/>
    </row>
    <row r="33" spans="1:8">
      <c r="B33" s="107"/>
    </row>
    <row r="34" spans="1:8">
      <c r="B34" s="102"/>
    </row>
    <row r="36" spans="1:8">
      <c r="A36" s="106"/>
      <c r="H36" s="102"/>
    </row>
    <row r="37" spans="1:8">
      <c r="C37" s="102"/>
    </row>
    <row r="38" spans="1:8">
      <c r="A38" s="103"/>
      <c r="B38" s="103"/>
    </row>
    <row r="39" spans="1:8">
      <c r="A39" s="103"/>
      <c r="B39" s="103"/>
    </row>
    <row r="40" spans="1:8">
      <c r="A40" s="103"/>
      <c r="B40" s="103"/>
    </row>
    <row r="41" spans="1:8">
      <c r="A41" s="103"/>
      <c r="B41" s="103"/>
    </row>
    <row r="42" spans="1:8">
      <c r="A42" s="103"/>
      <c r="B42" s="103"/>
    </row>
    <row r="43" spans="1:8">
      <c r="A43" s="103"/>
      <c r="B43" s="103"/>
    </row>
    <row r="44" spans="1:8">
      <c r="A44" s="103"/>
      <c r="B44" s="103"/>
    </row>
    <row r="45" spans="1:8">
      <c r="A45" s="103"/>
      <c r="B45" s="10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4"/>
  <sheetViews>
    <sheetView topLeftCell="A22" workbookViewId="0">
      <selection activeCell="M41" sqref="M41"/>
    </sheetView>
  </sheetViews>
  <sheetFormatPr defaultColWidth="12.7109375" defaultRowHeight="15" customHeight="1"/>
  <cols>
    <col min="1" max="1" width="43" style="2" bestFit="1" customWidth="1"/>
    <col min="2" max="2" width="16.28515625" style="2" bestFit="1" customWidth="1"/>
    <col min="3" max="4" width="12.42578125" style="2" bestFit="1" customWidth="1"/>
    <col min="5" max="5" width="15.28515625" style="2" bestFit="1" customWidth="1"/>
    <col min="6" max="6" width="13.7109375" style="2" bestFit="1" customWidth="1"/>
    <col min="7" max="7" width="17.7109375" style="2" bestFit="1" customWidth="1"/>
    <col min="8" max="8" width="15.85546875" style="2" bestFit="1" customWidth="1"/>
    <col min="9" max="9" width="7.28515625" style="2" customWidth="1"/>
    <col min="10" max="10" width="17.7109375" style="2" customWidth="1"/>
    <col min="11" max="11" width="15.85546875" style="2" customWidth="1"/>
    <col min="12" max="12" width="7.28515625" style="2" bestFit="1" customWidth="1"/>
    <col min="13" max="13" width="50.7109375" style="2" bestFit="1" customWidth="1"/>
    <col min="14" max="14" width="19" style="2" bestFit="1" customWidth="1"/>
    <col min="15" max="15" width="10" style="2" customWidth="1"/>
    <col min="16" max="26" width="8.7109375" style="2" customWidth="1"/>
    <col min="27" max="16384" width="12.7109375" style="2"/>
  </cols>
  <sheetData>
    <row r="1" spans="1:15" ht="15" customHeight="1">
      <c r="A1" s="182" t="s">
        <v>207</v>
      </c>
    </row>
    <row r="2" spans="1:15" ht="15" customHeight="1">
      <c r="A2" s="1" t="s">
        <v>218</v>
      </c>
    </row>
    <row r="4" spans="1:15" ht="14.25" customHeight="1">
      <c r="A4" s="130" t="s">
        <v>213</v>
      </c>
      <c r="B4" s="131"/>
      <c r="C4" s="11"/>
      <c r="D4" s="125" t="s">
        <v>220</v>
      </c>
      <c r="E4" s="125"/>
      <c r="G4" s="125" t="s">
        <v>211</v>
      </c>
      <c r="H4" s="124"/>
      <c r="J4" s="125" t="s">
        <v>212</v>
      </c>
      <c r="K4" s="124"/>
      <c r="L4" s="10"/>
      <c r="M4" s="140" t="s">
        <v>1</v>
      </c>
      <c r="N4" s="133"/>
      <c r="O4" s="11"/>
    </row>
    <row r="5" spans="1:15" ht="14.25" customHeight="1">
      <c r="A5" s="29" t="s">
        <v>5</v>
      </c>
      <c r="B5" s="74">
        <v>12</v>
      </c>
      <c r="D5" s="127" t="s">
        <v>0</v>
      </c>
      <c r="E5" s="126" t="s">
        <v>221</v>
      </c>
      <c r="G5" s="24" t="s">
        <v>2</v>
      </c>
      <c r="H5" s="128" t="s">
        <v>3</v>
      </c>
      <c r="J5" s="24" t="s">
        <v>2</v>
      </c>
      <c r="K5" s="128" t="s">
        <v>3</v>
      </c>
      <c r="L5" s="11"/>
      <c r="M5" s="119" t="s">
        <v>292</v>
      </c>
      <c r="N5" s="28"/>
      <c r="O5" s="11"/>
    </row>
    <row r="6" spans="1:15" ht="14.25" customHeight="1">
      <c r="A6" s="29" t="s">
        <v>7</v>
      </c>
      <c r="B6" s="74">
        <v>52</v>
      </c>
      <c r="D6" s="129">
        <v>2</v>
      </c>
      <c r="E6" s="129">
        <v>109</v>
      </c>
      <c r="G6" s="22">
        <v>1</v>
      </c>
      <c r="H6" s="136">
        <f>-Pipeline_Development_cost</f>
        <v>-520000000</v>
      </c>
      <c r="J6" s="22">
        <v>1</v>
      </c>
      <c r="K6" s="241">
        <f>-Tanker_Development_Cost</f>
        <v>-250000000</v>
      </c>
      <c r="L6" s="11"/>
      <c r="M6" s="167" t="s">
        <v>284</v>
      </c>
      <c r="N6" s="33"/>
      <c r="O6" s="11"/>
    </row>
    <row r="7" spans="1:15" ht="14.25" customHeight="1">
      <c r="A7" s="29" t="s">
        <v>8</v>
      </c>
      <c r="B7" s="30">
        <v>1</v>
      </c>
      <c r="C7" s="3"/>
      <c r="D7" s="129">
        <v>3</v>
      </c>
      <c r="E7" s="129">
        <v>110</v>
      </c>
      <c r="G7" s="22">
        <v>2</v>
      </c>
      <c r="H7" s="136">
        <f>Pipeline_Sales_Y2*(Increment+Pipeline_Rate_of_increase_in_demand)^(G7-NPV_Increment)*(Pipeline_Sale_Price_Y2-Pipeline_Purchase_Price_Y2)*(Increment+NPV_Rate_of_Inflation)^(G7-NPV_Increment)-Pipeline_Total_annual_cost_Y2*(Increment+NPV_Rate_of_Inflation)^(G7-NPV_Increment)-Pipeline_Carbon_Offsets__Paid_monthly_on_15th*(Increment+NPV_Rate_of_Inflation__Carbon_Offsets)^(G7-NPV_Increment)-D68</f>
        <v>50626915.419505998</v>
      </c>
      <c r="J7" s="22">
        <v>2</v>
      </c>
      <c r="K7" s="241">
        <f t="shared" ref="K7:K36" si="0">Tanker_Quantity_demanded_Y2*(Increment+NPV_Gas_demand_rate)^(J7-NPV_Increment)*(NPV_LNG_Selling_price-NPV_LNG_Purchase_cost)*(Increment+NPV_Rate_of_Inflation)^(J7-NPV_Increment)-$B$56*(Increment+NPV_Rate_of_Inflation__Carbon_Offsets)^(J7-NPV_Increment)-$B$63*E6*(Increment+NPV_Rate_of_Inflation)^(J7-NPV_Increment)-Tanker_Total_Annual_Cost_Y2*(Increment+NPV_Rate_of_Inflation)^(J7-NPV_Increment)-D102</f>
        <v>83599244.720916361</v>
      </c>
      <c r="L7" s="11"/>
      <c r="M7" s="49" t="s">
        <v>6</v>
      </c>
      <c r="N7" s="33"/>
      <c r="O7" s="11"/>
    </row>
    <row r="8" spans="1:15" ht="14.25" customHeight="1">
      <c r="A8" s="29" t="s">
        <v>9</v>
      </c>
      <c r="B8" s="61">
        <v>2</v>
      </c>
      <c r="C8" s="3"/>
      <c r="D8" s="129">
        <v>4</v>
      </c>
      <c r="E8" s="129">
        <v>111</v>
      </c>
      <c r="G8" s="22">
        <v>3</v>
      </c>
      <c r="H8" s="136">
        <f t="shared" ref="H8:H36" si="1">Pipeline_Sales_Y2*(Increment+Pipeline_Rate_of_increase_in_demand)^(G8-NPV_Increment)*(Pipeline_Sale_Price_Y2-Pipeline_Purchase_Price_Y2)*(Increment+NPV_Rate_of_Inflation)^(G8-NPV_Increment)-Pipeline_Total_annual_cost_Y2*(Increment+NPV_Rate_of_Inflation)^(G8-NPV_Increment)-Pipeline_Carbon_Offsets__Paid_monthly_on_15th*(Increment+NPV_Rate_of_Inflation__Carbon_Offsets)^(G8-NPV_Increment)-D69</f>
        <v>52344865.419505969</v>
      </c>
      <c r="J8" s="22">
        <v>3</v>
      </c>
      <c r="K8" s="241">
        <f t="shared" si="0"/>
        <v>84871925.220916301</v>
      </c>
      <c r="L8" s="11"/>
      <c r="M8" s="51" t="s">
        <v>293</v>
      </c>
      <c r="N8" s="33"/>
      <c r="O8" s="11"/>
    </row>
    <row r="9" spans="1:15" ht="14.25" customHeight="1">
      <c r="A9" s="29" t="s">
        <v>10</v>
      </c>
      <c r="B9" s="31">
        <v>30</v>
      </c>
      <c r="C9" s="3"/>
      <c r="D9" s="129">
        <v>5</v>
      </c>
      <c r="E9" s="129">
        <v>111</v>
      </c>
      <c r="G9" s="22">
        <v>4</v>
      </c>
      <c r="H9" s="136">
        <f t="shared" si="1"/>
        <v>54098227.693255961</v>
      </c>
      <c r="J9" s="22">
        <v>4</v>
      </c>
      <c r="K9" s="241">
        <f t="shared" si="0"/>
        <v>86146028.245053753</v>
      </c>
      <c r="L9" s="11"/>
      <c r="M9" s="139"/>
      <c r="N9" s="50" t="s">
        <v>225</v>
      </c>
      <c r="O9" s="11"/>
    </row>
    <row r="10" spans="1:15" ht="14.25" customHeight="1">
      <c r="A10" s="34" t="s">
        <v>11</v>
      </c>
      <c r="B10" s="33">
        <v>6</v>
      </c>
      <c r="C10" s="3"/>
      <c r="D10" s="129">
        <v>6</v>
      </c>
      <c r="E10" s="129">
        <v>112</v>
      </c>
      <c r="G10" s="22">
        <v>5</v>
      </c>
      <c r="H10" s="136">
        <f t="shared" si="1"/>
        <v>55887712.837523952</v>
      </c>
      <c r="J10" s="22">
        <v>5</v>
      </c>
      <c r="K10" s="241">
        <f t="shared" si="0"/>
        <v>87702069.655388743</v>
      </c>
      <c r="L10" s="11"/>
      <c r="M10" s="17"/>
      <c r="N10" s="11"/>
    </row>
    <row r="11" spans="1:15" ht="14.25" customHeight="1">
      <c r="A11" s="29"/>
      <c r="B11" s="40"/>
      <c r="C11" s="121"/>
      <c r="D11" s="129">
        <v>7</v>
      </c>
      <c r="E11" s="129">
        <v>112</v>
      </c>
      <c r="G11" s="22">
        <v>6</v>
      </c>
      <c r="H11" s="136">
        <f t="shared" si="1"/>
        <v>57714045.157068148</v>
      </c>
      <c r="J11" s="22">
        <v>6</v>
      </c>
      <c r="K11" s="241">
        <f t="shared" si="0"/>
        <v>88980493.235637605</v>
      </c>
      <c r="L11" s="11"/>
      <c r="M11" s="17"/>
    </row>
    <row r="12" spans="1:15" ht="14.25" customHeight="1">
      <c r="A12" s="132" t="s">
        <v>12</v>
      </c>
      <c r="B12" s="133"/>
      <c r="C12" s="3"/>
      <c r="D12" s="129">
        <v>8</v>
      </c>
      <c r="E12" s="129">
        <v>113</v>
      </c>
      <c r="G12" s="22">
        <v>7</v>
      </c>
      <c r="H12" s="136">
        <f t="shared" si="1"/>
        <v>59577962.90991205</v>
      </c>
      <c r="J12" s="22">
        <v>7</v>
      </c>
      <c r="K12" s="241">
        <f t="shared" si="0"/>
        <v>90547464.360835746</v>
      </c>
      <c r="L12" s="11"/>
    </row>
    <row r="13" spans="1:15" ht="14.25" customHeight="1">
      <c r="A13" s="119" t="s">
        <v>13</v>
      </c>
      <c r="B13" s="162">
        <v>1.4999999999999999E-2</v>
      </c>
      <c r="C13" s="3"/>
      <c r="D13" s="129">
        <v>9</v>
      </c>
      <c r="E13" s="129">
        <v>113</v>
      </c>
      <c r="G13" s="22">
        <v>8</v>
      </c>
      <c r="H13" s="136">
        <f t="shared" si="1"/>
        <v>61480218.556254104</v>
      </c>
      <c r="J13" s="22">
        <v>8</v>
      </c>
      <c r="K13" s="241">
        <f t="shared" si="0"/>
        <v>91826427.504765108</v>
      </c>
      <c r="L13" s="11"/>
      <c r="M13" s="17"/>
    </row>
    <row r="14" spans="1:15" ht="14.25" customHeight="1">
      <c r="A14" s="29" t="s">
        <v>14</v>
      </c>
      <c r="B14" s="35">
        <v>3.9E-2</v>
      </c>
      <c r="C14" s="3"/>
      <c r="D14" s="129">
        <v>10</v>
      </c>
      <c r="E14" s="129">
        <v>114</v>
      </c>
      <c r="G14" s="22">
        <v>9</v>
      </c>
      <c r="H14" s="136">
        <f t="shared" si="1"/>
        <v>63421579.011033133</v>
      </c>
      <c r="J14" s="22">
        <v>9</v>
      </c>
      <c r="K14" s="241">
        <f t="shared" si="0"/>
        <v>93400570.034021467</v>
      </c>
      <c r="L14" s="11"/>
    </row>
    <row r="15" spans="1:15" ht="14.25" customHeight="1">
      <c r="A15" s="29" t="s">
        <v>15</v>
      </c>
      <c r="B15" s="35">
        <v>0.04</v>
      </c>
      <c r="C15" s="3"/>
      <c r="D15" s="129">
        <v>11</v>
      </c>
      <c r="E15" s="129">
        <v>114</v>
      </c>
      <c r="G15" s="22">
        <v>10</v>
      </c>
      <c r="H15" s="136">
        <f t="shared" si="1"/>
        <v>65402825.900167897</v>
      </c>
      <c r="J15" s="22">
        <v>10</v>
      </c>
      <c r="K15" s="241">
        <f t="shared" si="0"/>
        <v>94675815.894231617</v>
      </c>
      <c r="L15" s="11"/>
      <c r="M15" s="135"/>
    </row>
    <row r="16" spans="1:15" ht="14.25" customHeight="1">
      <c r="A16" s="34" t="s">
        <v>167</v>
      </c>
      <c r="B16" s="163">
        <v>5.0000000000000001E-3</v>
      </c>
      <c r="C16" s="3"/>
      <c r="D16" s="129">
        <v>12</v>
      </c>
      <c r="E16" s="129">
        <v>115</v>
      </c>
      <c r="G16" s="22">
        <v>11</v>
      </c>
      <c r="H16" s="136">
        <f t="shared" si="1"/>
        <v>67424755.820489109</v>
      </c>
      <c r="J16" s="22">
        <v>11</v>
      </c>
      <c r="K16" s="241">
        <f t="shared" si="0"/>
        <v>96252881.219589591</v>
      </c>
      <c r="L16" s="11"/>
      <c r="M16" s="135"/>
    </row>
    <row r="17" spans="1:12" ht="14.25" customHeight="1">
      <c r="A17" s="11"/>
      <c r="B17" s="11"/>
      <c r="C17" s="3"/>
      <c r="D17" s="129">
        <v>13</v>
      </c>
      <c r="E17" s="129">
        <v>116</v>
      </c>
      <c r="G17" s="22">
        <v>12</v>
      </c>
      <c r="H17" s="136">
        <f t="shared" si="1"/>
        <v>69488180.603378966</v>
      </c>
      <c r="J17" s="22">
        <v>12</v>
      </c>
      <c r="K17" s="241">
        <f t="shared" si="0"/>
        <v>97519631.84447071</v>
      </c>
      <c r="L17" s="11"/>
    </row>
    <row r="18" spans="1:12" ht="14.25" customHeight="1">
      <c r="A18" s="130" t="s">
        <v>214</v>
      </c>
      <c r="B18" s="131"/>
      <c r="C18" s="121"/>
      <c r="D18" s="129">
        <v>14</v>
      </c>
      <c r="E18" s="129">
        <v>116</v>
      </c>
      <c r="G18" s="22">
        <v>13</v>
      </c>
      <c r="H18" s="136">
        <f t="shared" si="1"/>
        <v>71593927.582131967</v>
      </c>
      <c r="J18" s="22">
        <v>13</v>
      </c>
      <c r="K18" s="241">
        <f t="shared" si="0"/>
        <v>98777824.510661632</v>
      </c>
      <c r="L18" s="11"/>
    </row>
    <row r="19" spans="1:12" ht="14.25" customHeight="1">
      <c r="A19" s="29" t="s">
        <v>168</v>
      </c>
      <c r="B19" s="36">
        <v>520000000</v>
      </c>
      <c r="C19" s="3"/>
      <c r="D19" s="129">
        <v>15</v>
      </c>
      <c r="E19" s="129">
        <v>117</v>
      </c>
      <c r="G19" s="22">
        <v>14</v>
      </c>
      <c r="H19" s="136">
        <f t="shared" si="1"/>
        <v>73742839.863048166</v>
      </c>
      <c r="J19" s="22">
        <v>14</v>
      </c>
      <c r="K19" s="241">
        <f t="shared" si="0"/>
        <v>100347741.3033081</v>
      </c>
      <c r="L19" s="11"/>
    </row>
    <row r="20" spans="1:12" ht="14.25" customHeight="1">
      <c r="A20" s="29" t="s">
        <v>169</v>
      </c>
      <c r="B20" s="35">
        <v>5.0000000000000001E-3</v>
      </c>
      <c r="C20" s="3"/>
      <c r="D20" s="129">
        <v>16</v>
      </c>
      <c r="E20" s="129">
        <v>117</v>
      </c>
      <c r="G20" s="22">
        <v>15</v>
      </c>
      <c r="H20" s="136">
        <f t="shared" si="1"/>
        <v>75935776.600268632</v>
      </c>
      <c r="J20" s="22">
        <v>15</v>
      </c>
      <c r="K20" s="241">
        <f t="shared" si="0"/>
        <v>101589115.25237344</v>
      </c>
      <c r="L20" s="11"/>
    </row>
    <row r="21" spans="1:12" ht="14.25" customHeight="1">
      <c r="A21" s="29" t="s">
        <v>232</v>
      </c>
      <c r="B21" s="36">
        <v>15000000</v>
      </c>
      <c r="C21" s="3"/>
      <c r="D21" s="129">
        <v>17</v>
      </c>
      <c r="E21" s="129">
        <v>118</v>
      </c>
      <c r="G21" s="22">
        <v>16</v>
      </c>
      <c r="H21" s="136">
        <f t="shared" si="1"/>
        <v>78173613.274359062</v>
      </c>
      <c r="J21" s="22">
        <v>16</v>
      </c>
      <c r="K21" s="241">
        <f t="shared" si="0"/>
        <v>103148798.33924112</v>
      </c>
      <c r="L21" s="11"/>
    </row>
    <row r="22" spans="1:12" ht="14.25" customHeight="1">
      <c r="A22" s="29"/>
      <c r="B22" s="33"/>
      <c r="C22" s="3"/>
      <c r="D22" s="129">
        <v>18</v>
      </c>
      <c r="E22" s="129">
        <v>119</v>
      </c>
      <c r="G22" s="22">
        <v>17</v>
      </c>
      <c r="H22" s="136">
        <f t="shared" si="1"/>
        <v>80457241.974646553</v>
      </c>
      <c r="J22" s="22">
        <v>17</v>
      </c>
      <c r="K22" s="241">
        <f t="shared" si="0"/>
        <v>104367046.2914547</v>
      </c>
      <c r="L22" s="11"/>
    </row>
    <row r="23" spans="1:12" ht="14.25" customHeight="1">
      <c r="A23" s="123" t="s">
        <v>16</v>
      </c>
      <c r="B23" s="33"/>
      <c r="C23" s="3"/>
      <c r="D23" s="129">
        <v>19</v>
      </c>
      <c r="E23" s="129">
        <v>119</v>
      </c>
      <c r="G23" s="22">
        <v>18</v>
      </c>
      <c r="H23" s="136">
        <f t="shared" si="1"/>
        <v>82787571.685310349</v>
      </c>
      <c r="J23" s="22">
        <v>18</v>
      </c>
      <c r="K23" s="241">
        <f t="shared" si="0"/>
        <v>105568622.38176884</v>
      </c>
      <c r="L23" s="11"/>
    </row>
    <row r="24" spans="1:12" ht="14.25" customHeight="1">
      <c r="A24" s="29" t="s">
        <v>233</v>
      </c>
      <c r="B24" s="36">
        <v>17000000000</v>
      </c>
      <c r="C24" s="3"/>
      <c r="D24" s="129">
        <v>20</v>
      </c>
      <c r="E24" s="129">
        <v>120</v>
      </c>
      <c r="G24" s="22">
        <v>19</v>
      </c>
      <c r="H24" s="136">
        <f t="shared" si="1"/>
        <v>85165528.575225651</v>
      </c>
      <c r="J24" s="22">
        <v>19</v>
      </c>
      <c r="K24" s="241">
        <f t="shared" si="0"/>
        <v>107098233.92529055</v>
      </c>
      <c r="L24" s="11"/>
    </row>
    <row r="25" spans="1:12" ht="14.25" customHeight="1">
      <c r="A25" s="29" t="s">
        <v>234</v>
      </c>
      <c r="B25" s="62">
        <v>4.5999999999999999E-2</v>
      </c>
      <c r="C25" s="3"/>
      <c r="D25" s="129">
        <v>21</v>
      </c>
      <c r="E25" s="129">
        <v>120</v>
      </c>
      <c r="G25" s="22">
        <v>20</v>
      </c>
      <c r="H25" s="136">
        <f t="shared" si="1"/>
        <v>87592056.291555628</v>
      </c>
      <c r="J25" s="22">
        <v>20</v>
      </c>
      <c r="K25" s="241">
        <f t="shared" si="0"/>
        <v>108265790.56831127</v>
      </c>
      <c r="L25" s="11"/>
    </row>
    <row r="26" spans="1:12" ht="14.25" customHeight="1">
      <c r="A26" s="29" t="s">
        <v>235</v>
      </c>
      <c r="B26" s="62">
        <v>5.1999999999999998E-2</v>
      </c>
      <c r="C26" s="3"/>
      <c r="D26" s="129">
        <v>22</v>
      </c>
      <c r="E26" s="129">
        <v>121</v>
      </c>
      <c r="G26" s="22">
        <v>21</v>
      </c>
      <c r="H26" s="136">
        <f t="shared" si="1"/>
        <v>90068116.257084593</v>
      </c>
      <c r="J26" s="22">
        <v>21</v>
      </c>
      <c r="K26" s="241">
        <f t="shared" si="0"/>
        <v>109767780.5341427</v>
      </c>
      <c r="L26" s="11"/>
    </row>
    <row r="27" spans="1:12" ht="14.25" customHeight="1">
      <c r="A27" s="29"/>
      <c r="B27" s="33"/>
      <c r="C27" s="3"/>
      <c r="D27" s="129">
        <v>23</v>
      </c>
      <c r="E27" s="129">
        <v>121</v>
      </c>
      <c r="G27" s="22">
        <v>22</v>
      </c>
      <c r="H27" s="136">
        <f t="shared" si="1"/>
        <v>92594687.971279904</v>
      </c>
      <c r="J27" s="22">
        <v>22</v>
      </c>
      <c r="K27" s="241">
        <f t="shared" si="0"/>
        <v>110893102.15660925</v>
      </c>
      <c r="L27" s="11"/>
    </row>
    <row r="28" spans="1:12" ht="14.25" customHeight="1">
      <c r="A28" s="123" t="s">
        <v>226</v>
      </c>
      <c r="B28" s="33"/>
      <c r="C28" s="3"/>
      <c r="D28" s="129">
        <v>24</v>
      </c>
      <c r="E28" s="129">
        <v>122</v>
      </c>
      <c r="G28" s="22">
        <v>23</v>
      </c>
      <c r="H28" s="136">
        <f t="shared" si="1"/>
        <v>95172769.315069899</v>
      </c>
      <c r="J28" s="22">
        <v>23</v>
      </c>
      <c r="K28" s="241">
        <f t="shared" si="0"/>
        <v>112359135.37003547</v>
      </c>
      <c r="L28" s="11"/>
    </row>
    <row r="29" spans="1:12" ht="14.25" customHeight="1">
      <c r="A29" s="29" t="s">
        <v>227</v>
      </c>
      <c r="B29" s="36">
        <v>2200000</v>
      </c>
      <c r="C29" s="3"/>
      <c r="D29" s="129">
        <v>25</v>
      </c>
      <c r="E29" s="129">
        <v>123</v>
      </c>
      <c r="G29" s="22">
        <v>24</v>
      </c>
      <c r="H29" s="136">
        <f t="shared" si="1"/>
        <v>97803376.859317273</v>
      </c>
      <c r="J29" s="22">
        <v>24</v>
      </c>
      <c r="K29" s="241">
        <f t="shared" si="0"/>
        <v>113433119.24774288</v>
      </c>
      <c r="L29" s="11"/>
    </row>
    <row r="30" spans="1:12" ht="14.25" customHeight="1">
      <c r="A30" s="29" t="s">
        <v>228</v>
      </c>
      <c r="B30" s="36">
        <v>1000000</v>
      </c>
      <c r="C30" s="3"/>
      <c r="D30" s="129">
        <v>26</v>
      </c>
      <c r="E30" s="129">
        <v>123</v>
      </c>
      <c r="G30" s="22">
        <v>25</v>
      </c>
      <c r="H30" s="136">
        <f t="shared" si="1"/>
        <v>100487546.17696632</v>
      </c>
      <c r="J30" s="22">
        <v>25</v>
      </c>
      <c r="K30" s="241">
        <f t="shared" si="0"/>
        <v>114474921.02986735</v>
      </c>
      <c r="L30" s="11"/>
    </row>
    <row r="31" spans="1:12" ht="14.25" customHeight="1">
      <c r="A31" s="29" t="s">
        <v>229</v>
      </c>
      <c r="B31" s="36">
        <v>4700000</v>
      </c>
      <c r="C31" s="3"/>
      <c r="D31" s="129">
        <v>27</v>
      </c>
      <c r="E31" s="129">
        <v>124</v>
      </c>
      <c r="G31" s="22">
        <v>26</v>
      </c>
      <c r="H31" s="136">
        <f t="shared" si="1"/>
        <v>103226332.15883754</v>
      </c>
      <c r="J31" s="22">
        <v>26</v>
      </c>
      <c r="K31" s="241">
        <f t="shared" si="0"/>
        <v>115866519.32369056</v>
      </c>
      <c r="L31" s="11"/>
    </row>
    <row r="32" spans="1:12" ht="14.25" customHeight="1">
      <c r="A32" s="29" t="s">
        <v>230</v>
      </c>
      <c r="B32" s="36">
        <v>12000000</v>
      </c>
      <c r="C32" s="3"/>
      <c r="D32" s="129">
        <v>28</v>
      </c>
      <c r="E32" s="129">
        <v>125</v>
      </c>
      <c r="G32" s="22">
        <v>27</v>
      </c>
      <c r="H32" s="136">
        <f t="shared" si="1"/>
        <v>106020809.33303715</v>
      </c>
      <c r="J32" s="22">
        <v>27</v>
      </c>
      <c r="K32" s="241">
        <f t="shared" si="0"/>
        <v>116841403.44251555</v>
      </c>
      <c r="L32" s="11"/>
    </row>
    <row r="33" spans="1:12" ht="14.25" customHeight="1">
      <c r="A33" s="29" t="s">
        <v>231</v>
      </c>
      <c r="B33" s="43">
        <f>SUM(B29:B32)</f>
        <v>19900000</v>
      </c>
      <c r="C33" s="3"/>
      <c r="D33" s="129">
        <v>29</v>
      </c>
      <c r="E33" s="129">
        <v>125</v>
      </c>
      <c r="G33" s="22">
        <v>28</v>
      </c>
      <c r="H33" s="136">
        <f t="shared" si="1"/>
        <v>108872072.1879463</v>
      </c>
      <c r="J33" s="22">
        <v>28</v>
      </c>
      <c r="K33" s="241">
        <f t="shared" si="0"/>
        <v>117775588.94875269</v>
      </c>
      <c r="L33" s="11"/>
    </row>
    <row r="34" spans="1:12" ht="14.25" customHeight="1">
      <c r="A34" s="29"/>
      <c r="B34" s="43"/>
      <c r="C34" s="3"/>
      <c r="D34" s="129">
        <v>30</v>
      </c>
      <c r="E34" s="129">
        <v>126</v>
      </c>
      <c r="G34" s="22">
        <v>29</v>
      </c>
      <c r="H34" s="136">
        <f t="shared" si="1"/>
        <v>111781235.49874876</v>
      </c>
      <c r="J34" s="22">
        <v>29</v>
      </c>
      <c r="K34" s="241">
        <f t="shared" si="0"/>
        <v>119068200.93084747</v>
      </c>
      <c r="L34" s="11"/>
    </row>
    <row r="35" spans="1:12" ht="14.25" customHeight="1">
      <c r="A35" s="123" t="s">
        <v>20</v>
      </c>
      <c r="B35" s="37"/>
      <c r="C35" s="3"/>
      <c r="D35" s="129">
        <v>31</v>
      </c>
      <c r="E35" s="129">
        <v>126</v>
      </c>
      <c r="G35" s="22">
        <v>30</v>
      </c>
      <c r="H35" s="136">
        <f t="shared" si="1"/>
        <v>114749434.65745027</v>
      </c>
      <c r="J35" s="22">
        <v>30</v>
      </c>
      <c r="K35" s="241">
        <f t="shared" si="0"/>
        <v>119917401.73260179</v>
      </c>
      <c r="L35" s="11"/>
    </row>
    <row r="36" spans="1:12" ht="14.25" customHeight="1">
      <c r="A36" s="34" t="s">
        <v>236</v>
      </c>
      <c r="B36" s="60">
        <v>800000</v>
      </c>
      <c r="G36" s="22">
        <v>31</v>
      </c>
      <c r="H36" s="136">
        <f t="shared" si="1"/>
        <v>117777826.00633796</v>
      </c>
      <c r="J36" s="22">
        <v>31</v>
      </c>
      <c r="K36" s="241">
        <f t="shared" si="0"/>
        <v>121130495.42669049</v>
      </c>
    </row>
    <row r="37" spans="1:12" ht="14.25" customHeight="1">
      <c r="A37" s="10"/>
      <c r="B37" s="11"/>
      <c r="C37" s="11"/>
      <c r="G37" s="24" t="s">
        <v>17</v>
      </c>
      <c r="H37" s="137">
        <f>NPV(NPV__Rate_of_Financing,H7:H36)-Pipeline_Development_cost-PV(NPV_Rate_of_Inflation,NPV_Years_of_Operation+NPV_Development_Time__Yr,,Pipeline_Salvage_Value_Y31,0)</f>
        <v>777842379.96950889</v>
      </c>
      <c r="J37" s="24" t="s">
        <v>17</v>
      </c>
      <c r="K37" s="242">
        <f>NPV(NPV__Rate_of_Financing,K7:K36)-Tanker_Development_Cost+PV(NPV_Rate_of_Inflation,NPV_Years_of_Operation+NPV_Development_Time__Yr,,Tanker_Salvage_Value_Y31,0)</f>
        <v>1456298495.022522</v>
      </c>
    </row>
    <row r="38" spans="1:12" ht="14.25" customHeight="1">
      <c r="A38" s="130" t="s">
        <v>215</v>
      </c>
      <c r="B38" s="131"/>
      <c r="C38" s="4"/>
    </row>
    <row r="39" spans="1:12" ht="14.25" customHeight="1">
      <c r="A39" s="29" t="s">
        <v>18</v>
      </c>
      <c r="B39" s="63">
        <v>250000000</v>
      </c>
      <c r="J39" s="1" t="s">
        <v>150</v>
      </c>
    </row>
    <row r="40" spans="1:12" ht="14.25" customHeight="1">
      <c r="A40" s="29" t="s">
        <v>237</v>
      </c>
      <c r="B40" s="63">
        <v>20000000</v>
      </c>
      <c r="J40" s="243" t="s">
        <v>151</v>
      </c>
    </row>
    <row r="41" spans="1:12" ht="14.25" customHeight="1">
      <c r="A41" s="29"/>
      <c r="B41" s="33"/>
    </row>
    <row r="42" spans="1:12" ht="14.25" customHeight="1">
      <c r="A42" s="123" t="s">
        <v>19</v>
      </c>
      <c r="B42" s="33"/>
    </row>
    <row r="43" spans="1:12" ht="14.25" customHeight="1">
      <c r="A43" s="29" t="s">
        <v>170</v>
      </c>
      <c r="B43" s="65">
        <v>28330000</v>
      </c>
      <c r="G43" s="2" t="s">
        <v>304</v>
      </c>
    </row>
    <row r="44" spans="1:12" ht="14.25" customHeight="1">
      <c r="A44" s="29" t="s">
        <v>171</v>
      </c>
      <c r="B44" s="65">
        <f>B43/Days_in_year</f>
        <v>77563.312799452426</v>
      </c>
      <c r="G44" s="52" t="s">
        <v>250</v>
      </c>
    </row>
    <row r="45" spans="1:12" ht="14.25" customHeight="1">
      <c r="A45" s="29" t="s">
        <v>172</v>
      </c>
      <c r="B45" s="64">
        <v>22</v>
      </c>
      <c r="G45" s="2" t="s">
        <v>251</v>
      </c>
    </row>
    <row r="46" spans="1:12" ht="14.25" customHeight="1">
      <c r="A46" s="29" t="s">
        <v>173</v>
      </c>
      <c r="B46" s="64">
        <v>28</v>
      </c>
    </row>
    <row r="47" spans="1:12" ht="14.25" customHeight="1">
      <c r="A47" s="29"/>
      <c r="B47" s="39"/>
    </row>
    <row r="48" spans="1:12" ht="14.25" customHeight="1">
      <c r="A48" s="123" t="s">
        <v>226</v>
      </c>
      <c r="B48" s="33"/>
      <c r="H48" s="1"/>
    </row>
    <row r="49" spans="1:14" ht="14.1" customHeight="1">
      <c r="A49" s="29" t="s">
        <v>240</v>
      </c>
      <c r="B49" s="63">
        <v>1800000</v>
      </c>
    </row>
    <row r="50" spans="1:14" ht="14.25" customHeight="1">
      <c r="A50" s="29" t="s">
        <v>241</v>
      </c>
      <c r="B50" s="63">
        <v>2000000</v>
      </c>
      <c r="G50" s="244"/>
      <c r="H50" s="244"/>
      <c r="I50" s="244"/>
      <c r="J50" s="244"/>
      <c r="K50" s="244"/>
      <c r="L50" s="244"/>
    </row>
    <row r="51" spans="1:14" ht="14.25" customHeight="1">
      <c r="A51" s="29" t="s">
        <v>242</v>
      </c>
      <c r="B51" s="63">
        <v>2000000</v>
      </c>
      <c r="G51" s="244"/>
      <c r="H51" s="244"/>
      <c r="I51" s="244"/>
      <c r="J51" s="244"/>
      <c r="K51" s="244"/>
      <c r="L51" s="244"/>
    </row>
    <row r="52" spans="1:14" ht="14.25" customHeight="1">
      <c r="A52" s="29" t="s">
        <v>243</v>
      </c>
      <c r="B52" s="63">
        <v>3500000</v>
      </c>
    </row>
    <row r="53" spans="1:14" ht="14.25" customHeight="1">
      <c r="A53" s="29" t="s">
        <v>244</v>
      </c>
      <c r="B53" s="245">
        <f>SUM(B49:B52)</f>
        <v>9300000</v>
      </c>
    </row>
    <row r="54" spans="1:14" ht="14.25" customHeight="1">
      <c r="A54" s="29"/>
      <c r="B54" s="33"/>
    </row>
    <row r="55" spans="1:14" ht="14.25" customHeight="1">
      <c r="A55" s="123" t="s">
        <v>20</v>
      </c>
      <c r="B55" s="33"/>
      <c r="N55" s="246"/>
    </row>
    <row r="56" spans="1:14" ht="14.25" customHeight="1">
      <c r="A56" s="29" t="s">
        <v>245</v>
      </c>
      <c r="B56" s="66">
        <v>33000000</v>
      </c>
      <c r="M56" s="246"/>
      <c r="N56" s="246"/>
    </row>
    <row r="57" spans="1:14" ht="14.25" customHeight="1">
      <c r="A57" s="29"/>
      <c r="B57" s="33"/>
      <c r="M57" s="246"/>
      <c r="N57" s="246"/>
    </row>
    <row r="58" spans="1:14" ht="14.25" customHeight="1">
      <c r="A58" s="123" t="s">
        <v>216</v>
      </c>
      <c r="B58" s="33"/>
      <c r="M58" s="246"/>
      <c r="N58" s="246"/>
    </row>
    <row r="59" spans="1:14" ht="14.25" customHeight="1">
      <c r="A59" s="29" t="s">
        <v>246</v>
      </c>
      <c r="B59" s="63">
        <v>220000</v>
      </c>
      <c r="M59" s="246"/>
      <c r="N59" s="246"/>
    </row>
    <row r="60" spans="1:14" ht="14.25" customHeight="1">
      <c r="A60" s="29" t="s">
        <v>247</v>
      </c>
      <c r="B60" s="63">
        <v>40000</v>
      </c>
      <c r="G60" s="246"/>
      <c r="M60" s="246"/>
      <c r="N60" s="246"/>
    </row>
    <row r="61" spans="1:14" ht="14.25" customHeight="1">
      <c r="A61" s="29" t="s">
        <v>248</v>
      </c>
      <c r="B61" s="63">
        <v>380</v>
      </c>
      <c r="G61" s="246"/>
      <c r="M61" s="246"/>
      <c r="N61" s="246"/>
    </row>
    <row r="62" spans="1:14" ht="14.25" customHeight="1">
      <c r="A62" s="29" t="s">
        <v>217</v>
      </c>
      <c r="B62" s="67">
        <v>24</v>
      </c>
      <c r="G62" s="246"/>
      <c r="M62" s="246"/>
      <c r="N62" s="246"/>
    </row>
    <row r="63" spans="1:14" ht="14.25" customHeight="1">
      <c r="A63" s="34" t="s">
        <v>249</v>
      </c>
      <c r="B63" s="68">
        <f>B61*B62+B59+B60</f>
        <v>269120</v>
      </c>
      <c r="G63" s="246"/>
      <c r="M63" s="246"/>
    </row>
    <row r="64" spans="1:14" ht="14.25" customHeight="1">
      <c r="G64" s="246"/>
      <c r="M64" s="246"/>
    </row>
    <row r="65" spans="1:13" ht="14.25" customHeight="1">
      <c r="A65" s="116" t="s">
        <v>219</v>
      </c>
      <c r="B65" s="117"/>
      <c r="C65" s="117"/>
      <c r="D65" s="117"/>
      <c r="E65" s="117"/>
      <c r="F65" s="118"/>
      <c r="G65" s="11"/>
      <c r="M65" s="246"/>
    </row>
    <row r="66" spans="1:13" ht="14.25" customHeight="1">
      <c r="A66" s="32" t="s">
        <v>0</v>
      </c>
      <c r="B66" s="18" t="s">
        <v>21</v>
      </c>
      <c r="C66" s="18" t="s">
        <v>22</v>
      </c>
      <c r="D66" s="18" t="s">
        <v>23</v>
      </c>
      <c r="E66" s="18" t="s">
        <v>24</v>
      </c>
      <c r="F66" s="41" t="s">
        <v>25</v>
      </c>
      <c r="G66" s="11"/>
    </row>
    <row r="67" spans="1:13" ht="14.25" customHeight="1">
      <c r="A67" s="29" t="s">
        <v>26</v>
      </c>
      <c r="B67" s="19">
        <f>Pipeline_Development_cost</f>
        <v>520000000</v>
      </c>
      <c r="C67" s="20">
        <f>B67*NPV__Rate_of_Financing*(B10/B5)</f>
        <v>10400000</v>
      </c>
      <c r="D67" s="21"/>
      <c r="E67" s="227">
        <f>C67-D67</f>
        <v>10400000</v>
      </c>
      <c r="F67" s="42">
        <f t="shared" ref="F67:F97" si="2">B67+E67</f>
        <v>530400000</v>
      </c>
      <c r="G67" s="11"/>
    </row>
    <row r="68" spans="1:13" ht="14.25" customHeight="1">
      <c r="A68" s="29" t="s">
        <v>27</v>
      </c>
      <c r="B68" s="8">
        <f>F67</f>
        <v>530400000</v>
      </c>
      <c r="C68" s="8">
        <f t="shared" ref="C68:C97" si="3">B68*NPV__Rate_of_Financing</f>
        <v>21216000</v>
      </c>
      <c r="D68" s="8">
        <f>PMT(NPV__Rate_of_Financing,COUNTA(A68:A97),B68,0)*-1</f>
        <v>30673084.580493975</v>
      </c>
      <c r="E68" s="227">
        <f>C68-D68</f>
        <v>-9457084.5804939754</v>
      </c>
      <c r="F68" s="43">
        <f t="shared" si="2"/>
        <v>520942915.41950601</v>
      </c>
      <c r="G68" s="11"/>
    </row>
    <row r="69" spans="1:13" ht="14.25" customHeight="1">
      <c r="A69" s="29" t="s">
        <v>28</v>
      </c>
      <c r="B69" s="8">
        <f t="shared" ref="B69:B97" si="4">F68</f>
        <v>520942915.41950601</v>
      </c>
      <c r="C69" s="8">
        <f t="shared" si="3"/>
        <v>20837716.61678024</v>
      </c>
      <c r="D69" s="8">
        <f t="shared" ref="D69:D97" si="5">D68</f>
        <v>30673084.580493975</v>
      </c>
      <c r="E69" s="227">
        <f t="shared" ref="E69:E97" si="6">C69-D69</f>
        <v>-9835367.9637137353</v>
      </c>
      <c r="F69" s="43">
        <f t="shared" si="2"/>
        <v>511107547.45579231</v>
      </c>
      <c r="G69" s="11"/>
    </row>
    <row r="70" spans="1:13" ht="14.25" customHeight="1">
      <c r="A70" s="29" t="s">
        <v>29</v>
      </c>
      <c r="B70" s="8">
        <f t="shared" si="4"/>
        <v>511107547.45579231</v>
      </c>
      <c r="C70" s="8">
        <f t="shared" si="3"/>
        <v>20444301.898231693</v>
      </c>
      <c r="D70" s="8">
        <f t="shared" si="5"/>
        <v>30673084.580493975</v>
      </c>
      <c r="E70" s="227">
        <f t="shared" si="6"/>
        <v>-10228782.682262283</v>
      </c>
      <c r="F70" s="43">
        <f t="shared" si="2"/>
        <v>500878764.77353001</v>
      </c>
      <c r="G70" s="11"/>
    </row>
    <row r="71" spans="1:13" ht="14.25" customHeight="1">
      <c r="A71" s="29" t="s">
        <v>30</v>
      </c>
      <c r="B71" s="8">
        <f t="shared" si="4"/>
        <v>500878764.77353001</v>
      </c>
      <c r="C71" s="8">
        <f t="shared" si="3"/>
        <v>20035150.590941202</v>
      </c>
      <c r="D71" s="8">
        <f t="shared" si="5"/>
        <v>30673084.580493975</v>
      </c>
      <c r="E71" s="227">
        <f t="shared" si="6"/>
        <v>-10637933.989552774</v>
      </c>
      <c r="F71" s="43">
        <f t="shared" si="2"/>
        <v>490240830.78397721</v>
      </c>
      <c r="G71" s="11"/>
    </row>
    <row r="72" spans="1:13" ht="14.25" customHeight="1">
      <c r="A72" s="29" t="s">
        <v>31</v>
      </c>
      <c r="B72" s="8">
        <f t="shared" si="4"/>
        <v>490240830.78397721</v>
      </c>
      <c r="C72" s="8">
        <f t="shared" si="3"/>
        <v>19609633.231359091</v>
      </c>
      <c r="D72" s="8">
        <f t="shared" si="5"/>
        <v>30673084.580493975</v>
      </c>
      <c r="E72" s="227">
        <f t="shared" si="6"/>
        <v>-11063451.349134885</v>
      </c>
      <c r="F72" s="43">
        <f t="shared" si="2"/>
        <v>479177379.43484235</v>
      </c>
      <c r="G72" s="11"/>
    </row>
    <row r="73" spans="1:13" ht="14.25" customHeight="1">
      <c r="A73" s="29" t="s">
        <v>32</v>
      </c>
      <c r="B73" s="8">
        <f t="shared" si="4"/>
        <v>479177379.43484235</v>
      </c>
      <c r="C73" s="8">
        <f t="shared" si="3"/>
        <v>19167095.177393693</v>
      </c>
      <c r="D73" s="8">
        <f t="shared" si="5"/>
        <v>30673084.580493975</v>
      </c>
      <c r="E73" s="227">
        <f t="shared" si="6"/>
        <v>-11505989.403100282</v>
      </c>
      <c r="F73" s="43">
        <f t="shared" si="2"/>
        <v>467671390.0317421</v>
      </c>
      <c r="G73" s="11"/>
    </row>
    <row r="74" spans="1:13" ht="14.25" customHeight="1">
      <c r="A74" s="29" t="s">
        <v>33</v>
      </c>
      <c r="B74" s="8">
        <f t="shared" si="4"/>
        <v>467671390.0317421</v>
      </c>
      <c r="C74" s="8">
        <f t="shared" si="3"/>
        <v>18706855.601269685</v>
      </c>
      <c r="D74" s="8">
        <f t="shared" si="5"/>
        <v>30673084.580493975</v>
      </c>
      <c r="E74" s="227">
        <f t="shared" si="6"/>
        <v>-11966228.979224291</v>
      </c>
      <c r="F74" s="43">
        <f t="shared" si="2"/>
        <v>455705161.05251783</v>
      </c>
      <c r="G74" s="11"/>
    </row>
    <row r="75" spans="1:13" ht="14.25" customHeight="1">
      <c r="A75" s="29" t="s">
        <v>34</v>
      </c>
      <c r="B75" s="8">
        <f t="shared" si="4"/>
        <v>455705161.05251783</v>
      </c>
      <c r="C75" s="8">
        <f t="shared" si="3"/>
        <v>18228206.442100715</v>
      </c>
      <c r="D75" s="8">
        <f t="shared" si="5"/>
        <v>30673084.580493975</v>
      </c>
      <c r="E75" s="227">
        <f t="shared" si="6"/>
        <v>-12444878.138393261</v>
      </c>
      <c r="F75" s="43">
        <f t="shared" si="2"/>
        <v>443260282.91412455</v>
      </c>
      <c r="G75" s="11"/>
    </row>
    <row r="76" spans="1:13" ht="14.25" customHeight="1">
      <c r="A76" s="29" t="s">
        <v>35</v>
      </c>
      <c r="B76" s="8">
        <f t="shared" si="4"/>
        <v>443260282.91412455</v>
      </c>
      <c r="C76" s="8">
        <f t="shared" si="3"/>
        <v>17730411.316564981</v>
      </c>
      <c r="D76" s="8">
        <f t="shared" si="5"/>
        <v>30673084.580493975</v>
      </c>
      <c r="E76" s="227">
        <f t="shared" si="6"/>
        <v>-12942673.263928995</v>
      </c>
      <c r="F76" s="43">
        <f t="shared" si="2"/>
        <v>430317609.65019554</v>
      </c>
      <c r="G76" s="11"/>
    </row>
    <row r="77" spans="1:13" ht="14.25" customHeight="1">
      <c r="A77" s="29" t="s">
        <v>36</v>
      </c>
      <c r="B77" s="8">
        <f t="shared" si="4"/>
        <v>430317609.65019554</v>
      </c>
      <c r="C77" s="8">
        <f t="shared" si="3"/>
        <v>17212704.386007823</v>
      </c>
      <c r="D77" s="8">
        <f t="shared" si="5"/>
        <v>30673084.580493975</v>
      </c>
      <c r="E77" s="227">
        <f t="shared" si="6"/>
        <v>-13460380.194486152</v>
      </c>
      <c r="F77" s="43">
        <f t="shared" si="2"/>
        <v>416857229.4557094</v>
      </c>
      <c r="G77" s="11"/>
    </row>
    <row r="78" spans="1:13" ht="14.25" customHeight="1">
      <c r="A78" s="29" t="s">
        <v>37</v>
      </c>
      <c r="B78" s="8">
        <f t="shared" si="4"/>
        <v>416857229.4557094</v>
      </c>
      <c r="C78" s="8">
        <f t="shared" si="3"/>
        <v>16674289.178228376</v>
      </c>
      <c r="D78" s="8">
        <f t="shared" si="5"/>
        <v>30673084.580493975</v>
      </c>
      <c r="E78" s="227">
        <f t="shared" si="6"/>
        <v>-13998795.402265599</v>
      </c>
      <c r="F78" s="43">
        <f t="shared" si="2"/>
        <v>402858434.05344379</v>
      </c>
      <c r="G78" s="11"/>
    </row>
    <row r="79" spans="1:13" ht="14.25" customHeight="1">
      <c r="A79" s="29" t="s">
        <v>38</v>
      </c>
      <c r="B79" s="8">
        <f t="shared" si="4"/>
        <v>402858434.05344379</v>
      </c>
      <c r="C79" s="8">
        <f t="shared" si="3"/>
        <v>16114337.362137752</v>
      </c>
      <c r="D79" s="8">
        <f t="shared" si="5"/>
        <v>30673084.580493975</v>
      </c>
      <c r="E79" s="227">
        <f t="shared" si="6"/>
        <v>-14558747.218356224</v>
      </c>
      <c r="F79" s="43">
        <f t="shared" si="2"/>
        <v>388299686.83508754</v>
      </c>
      <c r="G79" s="11"/>
    </row>
    <row r="80" spans="1:13" ht="14.25" customHeight="1">
      <c r="A80" s="29" t="s">
        <v>39</v>
      </c>
      <c r="B80" s="8">
        <f t="shared" si="4"/>
        <v>388299686.83508754</v>
      </c>
      <c r="C80" s="8">
        <f t="shared" si="3"/>
        <v>15531987.473403502</v>
      </c>
      <c r="D80" s="8">
        <f t="shared" si="5"/>
        <v>30673084.580493975</v>
      </c>
      <c r="E80" s="227">
        <f t="shared" si="6"/>
        <v>-15141097.107090473</v>
      </c>
      <c r="F80" s="43">
        <f t="shared" si="2"/>
        <v>373158589.72799706</v>
      </c>
      <c r="G80" s="11"/>
    </row>
    <row r="81" spans="1:7" ht="14.25" customHeight="1">
      <c r="A81" s="29" t="s">
        <v>40</v>
      </c>
      <c r="B81" s="8">
        <f t="shared" si="4"/>
        <v>373158589.72799706</v>
      </c>
      <c r="C81" s="8">
        <f t="shared" si="3"/>
        <v>14926343.589119883</v>
      </c>
      <c r="D81" s="8">
        <f t="shared" si="5"/>
        <v>30673084.580493975</v>
      </c>
      <c r="E81" s="227">
        <f t="shared" si="6"/>
        <v>-15746740.991374092</v>
      </c>
      <c r="F81" s="43">
        <f t="shared" si="2"/>
        <v>357411848.73662299</v>
      </c>
      <c r="G81" s="11"/>
    </row>
    <row r="82" spans="1:7" ht="14.25" customHeight="1">
      <c r="A82" s="29" t="s">
        <v>41</v>
      </c>
      <c r="B82" s="8">
        <f t="shared" si="4"/>
        <v>357411848.73662299</v>
      </c>
      <c r="C82" s="8">
        <f t="shared" si="3"/>
        <v>14296473.949464919</v>
      </c>
      <c r="D82" s="8">
        <f t="shared" si="5"/>
        <v>30673084.580493975</v>
      </c>
      <c r="E82" s="227">
        <f t="shared" si="6"/>
        <v>-16376610.631029056</v>
      </c>
      <c r="F82" s="43">
        <f t="shared" si="2"/>
        <v>341035238.10559392</v>
      </c>
      <c r="G82" s="11"/>
    </row>
    <row r="83" spans="1:7" ht="14.25" customHeight="1">
      <c r="A83" s="29" t="s">
        <v>42</v>
      </c>
      <c r="B83" s="8">
        <f t="shared" si="4"/>
        <v>341035238.10559392</v>
      </c>
      <c r="C83" s="8">
        <f t="shared" si="3"/>
        <v>13641409.524223758</v>
      </c>
      <c r="D83" s="8">
        <f t="shared" si="5"/>
        <v>30673084.580493975</v>
      </c>
      <c r="E83" s="227">
        <f t="shared" si="6"/>
        <v>-17031675.056270219</v>
      </c>
      <c r="F83" s="43">
        <f t="shared" si="2"/>
        <v>324003563.04932368</v>
      </c>
      <c r="G83" s="11"/>
    </row>
    <row r="84" spans="1:7" ht="14.25" customHeight="1">
      <c r="A84" s="29" t="s">
        <v>43</v>
      </c>
      <c r="B84" s="8">
        <f t="shared" si="4"/>
        <v>324003563.04932368</v>
      </c>
      <c r="C84" s="8">
        <f t="shared" si="3"/>
        <v>12960142.521972947</v>
      </c>
      <c r="D84" s="8">
        <f t="shared" si="5"/>
        <v>30673084.580493975</v>
      </c>
      <c r="E84" s="227">
        <f t="shared" si="6"/>
        <v>-17712942.058521029</v>
      </c>
      <c r="F84" s="43">
        <f t="shared" si="2"/>
        <v>306290620.99080265</v>
      </c>
      <c r="G84" s="11"/>
    </row>
    <row r="85" spans="1:7" ht="14.25" customHeight="1">
      <c r="A85" s="29" t="s">
        <v>44</v>
      </c>
      <c r="B85" s="8">
        <f t="shared" si="4"/>
        <v>306290620.99080265</v>
      </c>
      <c r="C85" s="8">
        <f t="shared" si="3"/>
        <v>12251624.839632107</v>
      </c>
      <c r="D85" s="8">
        <f t="shared" si="5"/>
        <v>30673084.580493975</v>
      </c>
      <c r="E85" s="227">
        <f t="shared" si="6"/>
        <v>-18421459.74086187</v>
      </c>
      <c r="F85" s="43">
        <f t="shared" si="2"/>
        <v>287869161.24994075</v>
      </c>
      <c r="G85" s="11"/>
    </row>
    <row r="86" spans="1:7" ht="14.25" customHeight="1">
      <c r="A86" s="29" t="s">
        <v>45</v>
      </c>
      <c r="B86" s="8">
        <f t="shared" si="4"/>
        <v>287869161.24994075</v>
      </c>
      <c r="C86" s="8">
        <f t="shared" si="3"/>
        <v>11514766.44999763</v>
      </c>
      <c r="D86" s="8">
        <f t="shared" si="5"/>
        <v>30673084.580493975</v>
      </c>
      <c r="E86" s="227">
        <f t="shared" si="6"/>
        <v>-19158318.130496345</v>
      </c>
      <c r="F86" s="43">
        <f t="shared" si="2"/>
        <v>268710843.11944443</v>
      </c>
      <c r="G86" s="11"/>
    </row>
    <row r="87" spans="1:7" ht="14.25" customHeight="1">
      <c r="A87" s="29" t="s">
        <v>46</v>
      </c>
      <c r="B87" s="8">
        <f t="shared" si="4"/>
        <v>268710843.11944443</v>
      </c>
      <c r="C87" s="8">
        <f t="shared" si="3"/>
        <v>10748433.724777777</v>
      </c>
      <c r="D87" s="8">
        <f t="shared" si="5"/>
        <v>30673084.580493975</v>
      </c>
      <c r="E87" s="227">
        <f t="shared" si="6"/>
        <v>-19924650.855716199</v>
      </c>
      <c r="F87" s="43">
        <f t="shared" si="2"/>
        <v>248786192.26372823</v>
      </c>
      <c r="G87" s="11"/>
    </row>
    <row r="88" spans="1:7" ht="14.25" customHeight="1">
      <c r="A88" s="29" t="s">
        <v>47</v>
      </c>
      <c r="B88" s="8">
        <f t="shared" si="4"/>
        <v>248786192.26372823</v>
      </c>
      <c r="C88" s="8">
        <f t="shared" si="3"/>
        <v>9951447.6905491296</v>
      </c>
      <c r="D88" s="8">
        <f t="shared" si="5"/>
        <v>30673084.580493975</v>
      </c>
      <c r="E88" s="227">
        <f t="shared" si="6"/>
        <v>-20721636.889944844</v>
      </c>
      <c r="F88" s="43">
        <f t="shared" si="2"/>
        <v>228064555.37378338</v>
      </c>
      <c r="G88" s="11"/>
    </row>
    <row r="89" spans="1:7" ht="14.25" customHeight="1">
      <c r="A89" s="29" t="s">
        <v>48</v>
      </c>
      <c r="B89" s="8">
        <f t="shared" si="4"/>
        <v>228064555.37378338</v>
      </c>
      <c r="C89" s="8">
        <f t="shared" si="3"/>
        <v>9122582.2149513345</v>
      </c>
      <c r="D89" s="8">
        <f t="shared" si="5"/>
        <v>30673084.580493975</v>
      </c>
      <c r="E89" s="227">
        <f t="shared" si="6"/>
        <v>-21550502.365542643</v>
      </c>
      <c r="F89" s="43">
        <f t="shared" si="2"/>
        <v>206514053.00824073</v>
      </c>
      <c r="G89" s="11"/>
    </row>
    <row r="90" spans="1:7" ht="14.25" customHeight="1">
      <c r="A90" s="29" t="s">
        <v>49</v>
      </c>
      <c r="B90" s="8">
        <f t="shared" si="4"/>
        <v>206514053.00824073</v>
      </c>
      <c r="C90" s="8">
        <f t="shared" si="3"/>
        <v>8260562.1203296296</v>
      </c>
      <c r="D90" s="8">
        <f t="shared" si="5"/>
        <v>30673084.580493975</v>
      </c>
      <c r="E90" s="227">
        <f t="shared" si="6"/>
        <v>-22412522.460164346</v>
      </c>
      <c r="F90" s="43">
        <f t="shared" si="2"/>
        <v>184101530.54807639</v>
      </c>
      <c r="G90" s="11"/>
    </row>
    <row r="91" spans="1:7" ht="14.25" customHeight="1">
      <c r="A91" s="29" t="s">
        <v>50</v>
      </c>
      <c r="B91" s="8">
        <f t="shared" si="4"/>
        <v>184101530.54807639</v>
      </c>
      <c r="C91" s="8">
        <f t="shared" si="3"/>
        <v>7364061.2219230561</v>
      </c>
      <c r="D91" s="8">
        <f t="shared" si="5"/>
        <v>30673084.580493975</v>
      </c>
      <c r="E91" s="227">
        <f t="shared" si="6"/>
        <v>-23309023.358570918</v>
      </c>
      <c r="F91" s="43">
        <f t="shared" si="2"/>
        <v>160792507.18950546</v>
      </c>
      <c r="G91" s="11"/>
    </row>
    <row r="92" spans="1:7" ht="14.25" customHeight="1">
      <c r="A92" s="29" t="s">
        <v>51</v>
      </c>
      <c r="B92" s="8">
        <f t="shared" si="4"/>
        <v>160792507.18950546</v>
      </c>
      <c r="C92" s="8">
        <f t="shared" si="3"/>
        <v>6431700.2875802182</v>
      </c>
      <c r="D92" s="8">
        <f t="shared" si="5"/>
        <v>30673084.580493975</v>
      </c>
      <c r="E92" s="227">
        <f t="shared" si="6"/>
        <v>-24241384.292913757</v>
      </c>
      <c r="F92" s="43">
        <f t="shared" si="2"/>
        <v>136551122.89659169</v>
      </c>
      <c r="G92" s="11"/>
    </row>
    <row r="93" spans="1:7" ht="14.25" customHeight="1">
      <c r="A93" s="29" t="s">
        <v>52</v>
      </c>
      <c r="B93" s="8">
        <f t="shared" si="4"/>
        <v>136551122.89659169</v>
      </c>
      <c r="C93" s="8">
        <f t="shared" si="3"/>
        <v>5462044.9158636676</v>
      </c>
      <c r="D93" s="8">
        <f t="shared" si="5"/>
        <v>30673084.580493975</v>
      </c>
      <c r="E93" s="227">
        <f t="shared" si="6"/>
        <v>-25211039.664630309</v>
      </c>
      <c r="F93" s="43">
        <f t="shared" si="2"/>
        <v>111340083.23196138</v>
      </c>
      <c r="G93" s="11"/>
    </row>
    <row r="94" spans="1:7" ht="14.25" customHeight="1">
      <c r="A94" s="29" t="s">
        <v>53</v>
      </c>
      <c r="B94" s="8">
        <f t="shared" si="4"/>
        <v>111340083.23196138</v>
      </c>
      <c r="C94" s="8">
        <f t="shared" si="3"/>
        <v>4453603.3292784551</v>
      </c>
      <c r="D94" s="8">
        <f t="shared" si="5"/>
        <v>30673084.580493975</v>
      </c>
      <c r="E94" s="227">
        <f t="shared" si="6"/>
        <v>-26219481.251215521</v>
      </c>
      <c r="F94" s="43">
        <f t="shared" si="2"/>
        <v>85120601.980745867</v>
      </c>
      <c r="G94" s="11"/>
    </row>
    <row r="95" spans="1:7" ht="14.25" customHeight="1">
      <c r="A95" s="29" t="s">
        <v>54</v>
      </c>
      <c r="B95" s="8">
        <f t="shared" si="4"/>
        <v>85120601.980745867</v>
      </c>
      <c r="C95" s="8">
        <f t="shared" si="3"/>
        <v>3404824.079229835</v>
      </c>
      <c r="D95" s="8">
        <f t="shared" si="5"/>
        <v>30673084.580493975</v>
      </c>
      <c r="E95" s="227">
        <f t="shared" si="6"/>
        <v>-27268260.50126414</v>
      </c>
      <c r="F95" s="43">
        <f t="shared" si="2"/>
        <v>57852341.479481727</v>
      </c>
      <c r="G95" s="11"/>
    </row>
    <row r="96" spans="1:7" ht="14.25" customHeight="1">
      <c r="A96" s="29" t="s">
        <v>55</v>
      </c>
      <c r="B96" s="8">
        <f t="shared" si="4"/>
        <v>57852341.479481727</v>
      </c>
      <c r="C96" s="8">
        <f t="shared" si="3"/>
        <v>2314093.6591792693</v>
      </c>
      <c r="D96" s="8">
        <f t="shared" si="5"/>
        <v>30673084.580493975</v>
      </c>
      <c r="E96" s="227">
        <f t="shared" si="6"/>
        <v>-28358990.921314705</v>
      </c>
      <c r="F96" s="43">
        <f t="shared" si="2"/>
        <v>29493350.558167022</v>
      </c>
      <c r="G96" s="11"/>
    </row>
    <row r="97" spans="1:7" ht="14.25" customHeight="1">
      <c r="A97" s="34" t="s">
        <v>56</v>
      </c>
      <c r="B97" s="44">
        <f t="shared" si="4"/>
        <v>29493350.558167022</v>
      </c>
      <c r="C97" s="44">
        <f t="shared" si="3"/>
        <v>1179734.0223266808</v>
      </c>
      <c r="D97" s="44">
        <f t="shared" si="5"/>
        <v>30673084.580493975</v>
      </c>
      <c r="E97" s="228">
        <f t="shared" si="6"/>
        <v>-29493350.558167294</v>
      </c>
      <c r="F97" s="45">
        <f t="shared" si="2"/>
        <v>-2.7194619178771973E-7</v>
      </c>
      <c r="G97" s="11"/>
    </row>
    <row r="98" spans="1:7" ht="14.25" customHeight="1">
      <c r="A98" s="11"/>
      <c r="B98" s="11"/>
      <c r="C98" s="11"/>
      <c r="D98" s="11"/>
      <c r="E98" s="11"/>
      <c r="F98" s="11"/>
    </row>
    <row r="99" spans="1:7" ht="14.25" customHeight="1">
      <c r="A99" s="116" t="s">
        <v>57</v>
      </c>
      <c r="B99" s="117"/>
      <c r="C99" s="117"/>
      <c r="D99" s="117"/>
      <c r="E99" s="117"/>
      <c r="F99" s="118"/>
      <c r="G99" s="11"/>
    </row>
    <row r="100" spans="1:7" ht="14.25" customHeight="1">
      <c r="A100" s="32" t="s">
        <v>0</v>
      </c>
      <c r="B100" s="18" t="s">
        <v>21</v>
      </c>
      <c r="C100" s="18" t="s">
        <v>22</v>
      </c>
      <c r="D100" s="18" t="s">
        <v>23</v>
      </c>
      <c r="E100" s="18" t="s">
        <v>24</v>
      </c>
      <c r="F100" s="41" t="s">
        <v>25</v>
      </c>
      <c r="G100" s="11"/>
    </row>
    <row r="101" spans="1:7" ht="14.25" customHeight="1">
      <c r="A101" s="29" t="s">
        <v>26</v>
      </c>
      <c r="B101" s="27">
        <f>Development_cost</f>
        <v>250000000</v>
      </c>
      <c r="C101" s="27">
        <f>B101*(NPV__Rate_of_Financing)*(B10/B5)</f>
        <v>5000000</v>
      </c>
      <c r="D101" s="25"/>
      <c r="E101" s="26">
        <f>C101-D101</f>
        <v>5000000</v>
      </c>
      <c r="F101" s="46">
        <f>C101+B101</f>
        <v>255000000</v>
      </c>
      <c r="G101" s="11"/>
    </row>
    <row r="102" spans="1:7" ht="14.25" customHeight="1">
      <c r="A102" s="29" t="s">
        <v>27</v>
      </c>
      <c r="B102" s="26">
        <f t="shared" ref="B102:B131" si="7">F101</f>
        <v>255000000</v>
      </c>
      <c r="C102" s="26">
        <f t="shared" ref="C102:C131" si="8">B102*(Bank_rate)</f>
        <v>10200000</v>
      </c>
      <c r="D102" s="27">
        <f>PMT(Bank_rate,COUNTA(A102:A131),B102,0)*-1</f>
        <v>14746675.279083641</v>
      </c>
      <c r="E102" s="26">
        <f>C102-D102</f>
        <v>-4546675.2790836412</v>
      </c>
      <c r="F102" s="38">
        <f t="shared" ref="F102:F131" si="9">E102+B102</f>
        <v>250453324.72091636</v>
      </c>
      <c r="G102" s="11"/>
    </row>
    <row r="103" spans="1:7" ht="14.25" customHeight="1">
      <c r="A103" s="29" t="s">
        <v>28</v>
      </c>
      <c r="B103" s="26">
        <f t="shared" si="7"/>
        <v>250453324.72091636</v>
      </c>
      <c r="C103" s="26">
        <f t="shared" si="8"/>
        <v>10018132.988836655</v>
      </c>
      <c r="D103" s="27">
        <f t="shared" ref="D103:D131" si="10">D102</f>
        <v>14746675.279083641</v>
      </c>
      <c r="E103" s="26">
        <f t="shared" ref="E103:E131" si="11">C103-D103</f>
        <v>-4728542.2902469859</v>
      </c>
      <c r="F103" s="38">
        <f t="shared" si="9"/>
        <v>245724782.43066937</v>
      </c>
      <c r="G103" s="11"/>
    </row>
    <row r="104" spans="1:7" ht="14.25" customHeight="1">
      <c r="A104" s="29" t="s">
        <v>29</v>
      </c>
      <c r="B104" s="26">
        <f t="shared" si="7"/>
        <v>245724782.43066937</v>
      </c>
      <c r="C104" s="26">
        <f t="shared" si="8"/>
        <v>9828991.2972267754</v>
      </c>
      <c r="D104" s="27">
        <f t="shared" si="10"/>
        <v>14746675.279083641</v>
      </c>
      <c r="E104" s="26">
        <f t="shared" si="11"/>
        <v>-4917683.9818568658</v>
      </c>
      <c r="F104" s="38">
        <f t="shared" si="9"/>
        <v>240807098.44881251</v>
      </c>
      <c r="G104" s="11"/>
    </row>
    <row r="105" spans="1:7" ht="14.25" customHeight="1">
      <c r="A105" s="29" t="s">
        <v>30</v>
      </c>
      <c r="B105" s="26">
        <f t="shared" si="7"/>
        <v>240807098.44881251</v>
      </c>
      <c r="C105" s="26">
        <f t="shared" si="8"/>
        <v>9632283.9379525017</v>
      </c>
      <c r="D105" s="27">
        <f t="shared" si="10"/>
        <v>14746675.279083641</v>
      </c>
      <c r="E105" s="26">
        <f t="shared" si="11"/>
        <v>-5114391.3411311395</v>
      </c>
      <c r="F105" s="38">
        <f t="shared" si="9"/>
        <v>235692707.10768136</v>
      </c>
      <c r="G105" s="11"/>
    </row>
    <row r="106" spans="1:7" ht="14.25" customHeight="1">
      <c r="A106" s="29" t="s">
        <v>31</v>
      </c>
      <c r="B106" s="26">
        <f t="shared" si="7"/>
        <v>235692707.10768136</v>
      </c>
      <c r="C106" s="26">
        <f t="shared" si="8"/>
        <v>9427708.2843072545</v>
      </c>
      <c r="D106" s="27">
        <f t="shared" si="10"/>
        <v>14746675.279083641</v>
      </c>
      <c r="E106" s="26">
        <f t="shared" si="11"/>
        <v>-5318966.9947763868</v>
      </c>
      <c r="F106" s="38">
        <f t="shared" si="9"/>
        <v>230373740.11290497</v>
      </c>
      <c r="G106" s="11"/>
    </row>
    <row r="107" spans="1:7" ht="14.25" customHeight="1">
      <c r="A107" s="29" t="s">
        <v>32</v>
      </c>
      <c r="B107" s="26">
        <f t="shared" si="7"/>
        <v>230373740.11290497</v>
      </c>
      <c r="C107" s="26">
        <f t="shared" si="8"/>
        <v>9214949.6045161989</v>
      </c>
      <c r="D107" s="27">
        <f t="shared" si="10"/>
        <v>14746675.279083641</v>
      </c>
      <c r="E107" s="26">
        <f t="shared" si="11"/>
        <v>-5531725.6745674424</v>
      </c>
      <c r="F107" s="38">
        <f t="shared" si="9"/>
        <v>224842014.43833753</v>
      </c>
      <c r="G107" s="11"/>
    </row>
    <row r="108" spans="1:7" ht="14.25" customHeight="1">
      <c r="A108" s="29" t="s">
        <v>33</v>
      </c>
      <c r="B108" s="26">
        <f t="shared" si="7"/>
        <v>224842014.43833753</v>
      </c>
      <c r="C108" s="26">
        <f t="shared" si="8"/>
        <v>8993680.5775335021</v>
      </c>
      <c r="D108" s="27">
        <f t="shared" si="10"/>
        <v>14746675.279083641</v>
      </c>
      <c r="E108" s="26">
        <f>C108-D108</f>
        <v>-5752994.7015501391</v>
      </c>
      <c r="F108" s="38">
        <f t="shared" si="9"/>
        <v>219089019.73678741</v>
      </c>
      <c r="G108" s="11"/>
    </row>
    <row r="109" spans="1:7" ht="14.25" customHeight="1">
      <c r="A109" s="29" t="s">
        <v>34</v>
      </c>
      <c r="B109" s="26">
        <f t="shared" si="7"/>
        <v>219089019.73678741</v>
      </c>
      <c r="C109" s="26">
        <f t="shared" si="8"/>
        <v>8763560.7894714959</v>
      </c>
      <c r="D109" s="27">
        <f t="shared" si="10"/>
        <v>14746675.279083641</v>
      </c>
      <c r="E109" s="26">
        <f t="shared" si="11"/>
        <v>-5983114.4896121453</v>
      </c>
      <c r="F109" s="38">
        <f t="shared" si="9"/>
        <v>213105905.24717528</v>
      </c>
      <c r="G109" s="11"/>
    </row>
    <row r="110" spans="1:7" ht="14.25" customHeight="1">
      <c r="A110" s="29" t="s">
        <v>35</v>
      </c>
      <c r="B110" s="26">
        <f t="shared" si="7"/>
        <v>213105905.24717528</v>
      </c>
      <c r="C110" s="26">
        <f t="shared" si="8"/>
        <v>8524236.209887011</v>
      </c>
      <c r="D110" s="27">
        <f t="shared" si="10"/>
        <v>14746675.279083641</v>
      </c>
      <c r="E110" s="26">
        <f t="shared" si="11"/>
        <v>-6222439.0691966303</v>
      </c>
      <c r="F110" s="38">
        <f t="shared" si="9"/>
        <v>206883466.17797863</v>
      </c>
      <c r="G110" s="11"/>
    </row>
    <row r="111" spans="1:7" ht="14.25" customHeight="1">
      <c r="A111" s="29" t="s">
        <v>36</v>
      </c>
      <c r="B111" s="26">
        <f t="shared" si="7"/>
        <v>206883466.17797863</v>
      </c>
      <c r="C111" s="26">
        <f t="shared" si="8"/>
        <v>8275338.6471191458</v>
      </c>
      <c r="D111" s="27">
        <f t="shared" si="10"/>
        <v>14746675.279083641</v>
      </c>
      <c r="E111" s="26">
        <f t="shared" si="11"/>
        <v>-6471336.6319644954</v>
      </c>
      <c r="F111" s="38">
        <f t="shared" si="9"/>
        <v>200412129.54601413</v>
      </c>
      <c r="G111" s="11"/>
    </row>
    <row r="112" spans="1:7" ht="14.25" customHeight="1">
      <c r="A112" s="29" t="s">
        <v>37</v>
      </c>
      <c r="B112" s="26">
        <f t="shared" si="7"/>
        <v>200412129.54601413</v>
      </c>
      <c r="C112" s="26">
        <f t="shared" si="8"/>
        <v>8016485.1818405651</v>
      </c>
      <c r="D112" s="27">
        <f t="shared" si="10"/>
        <v>14746675.279083641</v>
      </c>
      <c r="E112" s="26">
        <f t="shared" si="11"/>
        <v>-6730190.0972430762</v>
      </c>
      <c r="F112" s="38">
        <f t="shared" si="9"/>
        <v>193681939.44877106</v>
      </c>
      <c r="G112" s="11"/>
    </row>
    <row r="113" spans="1:7" ht="14.25" customHeight="1">
      <c r="A113" s="29" t="s">
        <v>38</v>
      </c>
      <c r="B113" s="26">
        <f t="shared" si="7"/>
        <v>193681939.44877106</v>
      </c>
      <c r="C113" s="26">
        <f t="shared" si="8"/>
        <v>7747277.5779508427</v>
      </c>
      <c r="D113" s="27">
        <f t="shared" si="10"/>
        <v>14746675.279083641</v>
      </c>
      <c r="E113" s="26">
        <f t="shared" si="11"/>
        <v>-6999397.7011327986</v>
      </c>
      <c r="F113" s="38">
        <f t="shared" si="9"/>
        <v>186682541.74763826</v>
      </c>
      <c r="G113" s="11"/>
    </row>
    <row r="114" spans="1:7" ht="14.25" customHeight="1">
      <c r="A114" s="29" t="s">
        <v>39</v>
      </c>
      <c r="B114" s="26">
        <f t="shared" si="7"/>
        <v>186682541.74763826</v>
      </c>
      <c r="C114" s="26">
        <f t="shared" si="8"/>
        <v>7467301.6699055303</v>
      </c>
      <c r="D114" s="27">
        <f t="shared" si="10"/>
        <v>14746675.279083641</v>
      </c>
      <c r="E114" s="26">
        <f>C114-D114</f>
        <v>-7279373.609178111</v>
      </c>
      <c r="F114" s="38">
        <f t="shared" si="9"/>
        <v>179403168.13846016</v>
      </c>
      <c r="G114" s="11"/>
    </row>
    <row r="115" spans="1:7" ht="14.25" customHeight="1">
      <c r="A115" s="29" t="s">
        <v>40</v>
      </c>
      <c r="B115" s="26">
        <f t="shared" si="7"/>
        <v>179403168.13846016</v>
      </c>
      <c r="C115" s="26">
        <f t="shared" si="8"/>
        <v>7176126.7255384065</v>
      </c>
      <c r="D115" s="27">
        <f t="shared" si="10"/>
        <v>14746675.279083641</v>
      </c>
      <c r="E115" s="26">
        <f t="shared" si="11"/>
        <v>-7570548.5535452347</v>
      </c>
      <c r="F115" s="38">
        <f t="shared" si="9"/>
        <v>171832619.58491492</v>
      </c>
      <c r="G115" s="11"/>
    </row>
    <row r="116" spans="1:7" ht="14.25" customHeight="1">
      <c r="A116" s="29" t="s">
        <v>41</v>
      </c>
      <c r="B116" s="26">
        <f t="shared" si="7"/>
        <v>171832619.58491492</v>
      </c>
      <c r="C116" s="26">
        <f t="shared" si="8"/>
        <v>6873304.783396597</v>
      </c>
      <c r="D116" s="27">
        <f t="shared" si="10"/>
        <v>14746675.279083641</v>
      </c>
      <c r="E116" s="26">
        <f t="shared" si="11"/>
        <v>-7873370.4956870442</v>
      </c>
      <c r="F116" s="38">
        <f t="shared" si="9"/>
        <v>163959249.08922789</v>
      </c>
      <c r="G116" s="11"/>
    </row>
    <row r="117" spans="1:7" ht="14.25" customHeight="1">
      <c r="A117" s="29" t="s">
        <v>42</v>
      </c>
      <c r="B117" s="26">
        <f t="shared" si="7"/>
        <v>163959249.08922789</v>
      </c>
      <c r="C117" s="26">
        <f t="shared" si="8"/>
        <v>6558369.9635691158</v>
      </c>
      <c r="D117" s="27">
        <f t="shared" si="10"/>
        <v>14746675.279083641</v>
      </c>
      <c r="E117" s="26">
        <f t="shared" si="11"/>
        <v>-8188305.3155145254</v>
      </c>
      <c r="F117" s="38">
        <f t="shared" si="9"/>
        <v>155770943.77371335</v>
      </c>
      <c r="G117" s="11"/>
    </row>
    <row r="118" spans="1:7" ht="14.25" customHeight="1">
      <c r="A118" s="29" t="s">
        <v>43</v>
      </c>
      <c r="B118" s="26">
        <f t="shared" si="7"/>
        <v>155770943.77371335</v>
      </c>
      <c r="C118" s="26">
        <f t="shared" si="8"/>
        <v>6230837.7509485343</v>
      </c>
      <c r="D118" s="27">
        <f t="shared" si="10"/>
        <v>14746675.279083641</v>
      </c>
      <c r="E118" s="26">
        <f t="shared" si="11"/>
        <v>-8515837.528135106</v>
      </c>
      <c r="F118" s="38">
        <f t="shared" si="9"/>
        <v>147255106.24557823</v>
      </c>
      <c r="G118" s="11"/>
    </row>
    <row r="119" spans="1:7" ht="14.25" customHeight="1">
      <c r="A119" s="29" t="s">
        <v>44</v>
      </c>
      <c r="B119" s="26">
        <f t="shared" si="7"/>
        <v>147255106.24557823</v>
      </c>
      <c r="C119" s="26">
        <f t="shared" si="8"/>
        <v>5890204.2498231297</v>
      </c>
      <c r="D119" s="27">
        <f t="shared" si="10"/>
        <v>14746675.279083641</v>
      </c>
      <c r="E119" s="26">
        <f t="shared" si="11"/>
        <v>-8856471.0292605124</v>
      </c>
      <c r="F119" s="38">
        <f t="shared" si="9"/>
        <v>138398635.21631771</v>
      </c>
      <c r="G119" s="11"/>
    </row>
    <row r="120" spans="1:7" ht="14.25" customHeight="1">
      <c r="A120" s="29" t="s">
        <v>45</v>
      </c>
      <c r="B120" s="26">
        <f t="shared" si="7"/>
        <v>138398635.21631771</v>
      </c>
      <c r="C120" s="26">
        <f t="shared" si="8"/>
        <v>5535945.4086527089</v>
      </c>
      <c r="D120" s="27">
        <f t="shared" si="10"/>
        <v>14746675.279083641</v>
      </c>
      <c r="E120" s="26">
        <f t="shared" si="11"/>
        <v>-9210729.8704309314</v>
      </c>
      <c r="F120" s="38">
        <f t="shared" si="9"/>
        <v>129187905.34588678</v>
      </c>
      <c r="G120" s="11"/>
    </row>
    <row r="121" spans="1:7" ht="14.25" customHeight="1">
      <c r="A121" s="29" t="s">
        <v>46</v>
      </c>
      <c r="B121" s="26">
        <f t="shared" si="7"/>
        <v>129187905.34588678</v>
      </c>
      <c r="C121" s="26">
        <f t="shared" si="8"/>
        <v>5167516.2138354713</v>
      </c>
      <c r="D121" s="27">
        <f t="shared" si="10"/>
        <v>14746675.279083641</v>
      </c>
      <c r="E121" s="26">
        <f t="shared" si="11"/>
        <v>-9579159.065248169</v>
      </c>
      <c r="F121" s="38">
        <f t="shared" si="9"/>
        <v>119608746.28063861</v>
      </c>
      <c r="G121" s="11"/>
    </row>
    <row r="122" spans="1:7" ht="14.25" customHeight="1">
      <c r="A122" s="29" t="s">
        <v>47</v>
      </c>
      <c r="B122" s="26">
        <f t="shared" si="7"/>
        <v>119608746.28063861</v>
      </c>
      <c r="C122" s="26">
        <f t="shared" si="8"/>
        <v>4784349.8512255447</v>
      </c>
      <c r="D122" s="27">
        <f t="shared" si="10"/>
        <v>14746675.279083641</v>
      </c>
      <c r="E122" s="26">
        <f t="shared" si="11"/>
        <v>-9962325.4278580956</v>
      </c>
      <c r="F122" s="38">
        <f t="shared" si="9"/>
        <v>109646420.85278051</v>
      </c>
      <c r="G122" s="11"/>
    </row>
    <row r="123" spans="1:7" ht="14.25" customHeight="1">
      <c r="A123" s="29" t="s">
        <v>48</v>
      </c>
      <c r="B123" s="26">
        <f t="shared" si="7"/>
        <v>109646420.85278051</v>
      </c>
      <c r="C123" s="26">
        <f t="shared" si="8"/>
        <v>4385856.8341112202</v>
      </c>
      <c r="D123" s="27">
        <f t="shared" si="10"/>
        <v>14746675.279083641</v>
      </c>
      <c r="E123" s="26">
        <f t="shared" si="11"/>
        <v>-10360818.444972422</v>
      </c>
      <c r="F123" s="38">
        <f t="shared" si="9"/>
        <v>99285602.40780808</v>
      </c>
      <c r="G123" s="11"/>
    </row>
    <row r="124" spans="1:7" ht="14.25" customHeight="1">
      <c r="A124" s="29" t="s">
        <v>49</v>
      </c>
      <c r="B124" s="26">
        <f t="shared" si="7"/>
        <v>99285602.40780808</v>
      </c>
      <c r="C124" s="26">
        <f t="shared" si="8"/>
        <v>3971424.0963123231</v>
      </c>
      <c r="D124" s="27">
        <f t="shared" si="10"/>
        <v>14746675.279083641</v>
      </c>
      <c r="E124" s="26">
        <f t="shared" si="11"/>
        <v>-10775251.182771318</v>
      </c>
      <c r="F124" s="38">
        <f t="shared" si="9"/>
        <v>88510351.22503677</v>
      </c>
      <c r="G124" s="11"/>
    </row>
    <row r="125" spans="1:7" ht="14.25" customHeight="1">
      <c r="A125" s="29" t="s">
        <v>50</v>
      </c>
      <c r="B125" s="26">
        <f t="shared" si="7"/>
        <v>88510351.22503677</v>
      </c>
      <c r="C125" s="26">
        <f t="shared" si="8"/>
        <v>3540414.0490014707</v>
      </c>
      <c r="D125" s="27">
        <f t="shared" si="10"/>
        <v>14746675.279083641</v>
      </c>
      <c r="E125" s="26">
        <f t="shared" si="11"/>
        <v>-11206261.230082171</v>
      </c>
      <c r="F125" s="38">
        <f t="shared" si="9"/>
        <v>77304089.994954601</v>
      </c>
      <c r="G125" s="11"/>
    </row>
    <row r="126" spans="1:7" ht="14.25" customHeight="1">
      <c r="A126" s="29" t="s">
        <v>51</v>
      </c>
      <c r="B126" s="26">
        <f t="shared" si="7"/>
        <v>77304089.994954601</v>
      </c>
      <c r="C126" s="26">
        <f t="shared" si="8"/>
        <v>3092163.5997981839</v>
      </c>
      <c r="D126" s="27">
        <f t="shared" si="10"/>
        <v>14746675.279083641</v>
      </c>
      <c r="E126" s="26">
        <f t="shared" si="11"/>
        <v>-11654511.679285457</v>
      </c>
      <c r="F126" s="38">
        <f t="shared" si="9"/>
        <v>65649578.315669142</v>
      </c>
      <c r="G126" s="11"/>
    </row>
    <row r="127" spans="1:7" ht="14.25" customHeight="1">
      <c r="A127" s="29" t="s">
        <v>52</v>
      </c>
      <c r="B127" s="26">
        <f t="shared" si="7"/>
        <v>65649578.315669142</v>
      </c>
      <c r="C127" s="26">
        <f t="shared" si="8"/>
        <v>2625983.1326267659</v>
      </c>
      <c r="D127" s="27">
        <f t="shared" si="10"/>
        <v>14746675.279083641</v>
      </c>
      <c r="E127" s="26">
        <f t="shared" si="11"/>
        <v>-12120692.146456875</v>
      </c>
      <c r="F127" s="38">
        <f t="shared" si="9"/>
        <v>53528886.169212267</v>
      </c>
      <c r="G127" s="11"/>
    </row>
    <row r="128" spans="1:7" ht="14.25" customHeight="1">
      <c r="A128" s="29" t="s">
        <v>53</v>
      </c>
      <c r="B128" s="26">
        <f t="shared" si="7"/>
        <v>53528886.169212267</v>
      </c>
      <c r="C128" s="26">
        <f t="shared" si="8"/>
        <v>2141155.4467684906</v>
      </c>
      <c r="D128" s="27">
        <f t="shared" si="10"/>
        <v>14746675.279083641</v>
      </c>
      <c r="E128" s="26">
        <f t="shared" si="11"/>
        <v>-12605519.832315151</v>
      </c>
      <c r="F128" s="38">
        <f t="shared" si="9"/>
        <v>40923366.33689712</v>
      </c>
      <c r="G128" s="11"/>
    </row>
    <row r="129" spans="1:7" ht="14.25" customHeight="1">
      <c r="A129" s="29" t="s">
        <v>54</v>
      </c>
      <c r="B129" s="26">
        <f t="shared" si="7"/>
        <v>40923366.33689712</v>
      </c>
      <c r="C129" s="26">
        <f t="shared" si="8"/>
        <v>1636934.6534758848</v>
      </c>
      <c r="D129" s="27">
        <f t="shared" si="10"/>
        <v>14746675.279083641</v>
      </c>
      <c r="E129" s="26">
        <f t="shared" si="11"/>
        <v>-13109740.625607757</v>
      </c>
      <c r="F129" s="38">
        <f t="shared" si="9"/>
        <v>27813625.711289361</v>
      </c>
      <c r="G129" s="11"/>
    </row>
    <row r="130" spans="1:7" ht="14.25" customHeight="1">
      <c r="A130" s="29" t="s">
        <v>55</v>
      </c>
      <c r="B130" s="26">
        <f t="shared" si="7"/>
        <v>27813625.711289361</v>
      </c>
      <c r="C130" s="26">
        <f t="shared" si="8"/>
        <v>1112545.0284515745</v>
      </c>
      <c r="D130" s="27">
        <f t="shared" si="10"/>
        <v>14746675.279083641</v>
      </c>
      <c r="E130" s="26">
        <f t="shared" si="11"/>
        <v>-13634130.250632066</v>
      </c>
      <c r="F130" s="38">
        <f t="shared" si="9"/>
        <v>14179495.460657295</v>
      </c>
      <c r="G130" s="11"/>
    </row>
    <row r="131" spans="1:7" ht="14.25" customHeight="1">
      <c r="A131" s="34" t="s">
        <v>56</v>
      </c>
      <c r="B131" s="47">
        <f t="shared" si="7"/>
        <v>14179495.460657295</v>
      </c>
      <c r="C131" s="47">
        <f t="shared" si="8"/>
        <v>567179.81842629181</v>
      </c>
      <c r="D131" s="73">
        <f t="shared" si="10"/>
        <v>14746675.279083641</v>
      </c>
      <c r="E131" s="47">
        <f t="shared" si="11"/>
        <v>-14179495.460657349</v>
      </c>
      <c r="F131" s="48">
        <f t="shared" si="9"/>
        <v>-5.4016709327697754E-8</v>
      </c>
      <c r="G131" s="11"/>
    </row>
    <row r="132" spans="1:7" ht="14.25" customHeight="1"/>
    <row r="133" spans="1:7" ht="14.25" customHeight="1">
      <c r="A133" s="11"/>
      <c r="B133" s="11"/>
      <c r="C133" s="11"/>
      <c r="D133" s="11"/>
      <c r="E133" s="11"/>
      <c r="F133" s="11"/>
    </row>
    <row r="134" spans="1:7" ht="14.25" customHeight="1"/>
    <row r="135" spans="1:7" ht="14.25" customHeight="1"/>
    <row r="136" spans="1:7" ht="14.25" customHeight="1"/>
    <row r="137" spans="1:7" ht="14.25" customHeight="1"/>
    <row r="138" spans="1:7" ht="14.25" customHeight="1"/>
    <row r="139" spans="1:7" ht="14.25" customHeight="1"/>
    <row r="140" spans="1:7" ht="14.25" customHeight="1"/>
    <row r="141" spans="1:7" ht="14.25" customHeight="1"/>
    <row r="142" spans="1:7" ht="14.25" customHeight="1"/>
    <row r="143" spans="1:7" ht="14.25" customHeight="1"/>
    <row r="144" spans="1:7" ht="14.25" customHeight="1"/>
    <row r="145" s="2" customFormat="1" ht="14.25" customHeight="1"/>
    <row r="146" s="2" customFormat="1" ht="14.25" customHeight="1"/>
    <row r="147" s="2" customFormat="1" ht="14.25" customHeight="1"/>
    <row r="148" s="2" customFormat="1" ht="14.25" customHeight="1"/>
    <row r="149" s="2" customFormat="1" ht="14.25" customHeight="1"/>
    <row r="150" s="2" customFormat="1" ht="14.25" customHeight="1"/>
    <row r="151" s="2" customFormat="1" ht="14.25" customHeight="1"/>
    <row r="152" s="2" customFormat="1" ht="14.25" customHeight="1"/>
    <row r="153" s="2" customFormat="1" ht="14.25" customHeight="1"/>
    <row r="154" s="2" customFormat="1" ht="14.25" customHeight="1"/>
    <row r="155" s="2" customFormat="1" ht="14.25" customHeight="1"/>
    <row r="156" s="2" customFormat="1" ht="14.25" customHeight="1"/>
    <row r="157" s="2" customFormat="1" ht="14.25" customHeight="1"/>
    <row r="158" s="2" customFormat="1" ht="14.25" customHeight="1"/>
    <row r="159" s="2" customFormat="1" ht="14.25" customHeight="1"/>
    <row r="160" s="2" customFormat="1" ht="14.25" customHeight="1"/>
    <row r="161" s="2" customFormat="1" ht="14.25" customHeight="1"/>
    <row r="162" s="2" customFormat="1" ht="14.25" customHeight="1"/>
    <row r="163" s="2" customFormat="1" ht="14.25" customHeight="1"/>
    <row r="164" s="2" customFormat="1" ht="14.25" customHeight="1"/>
    <row r="165" s="2" customFormat="1" ht="14.25" customHeight="1"/>
    <row r="166" s="2" customFormat="1" ht="14.25" customHeight="1"/>
    <row r="167" s="2" customFormat="1" ht="14.25" customHeight="1"/>
    <row r="168" s="2" customFormat="1" ht="14.25" customHeight="1"/>
    <row r="169" s="2" customFormat="1" ht="14.25" customHeight="1"/>
    <row r="170" s="2" customFormat="1" ht="14.25" customHeight="1"/>
    <row r="171" s="2" customFormat="1" ht="14.25" customHeight="1"/>
    <row r="172" s="2" customFormat="1" ht="14.25" customHeight="1"/>
    <row r="173" s="2" customFormat="1" ht="14.25" customHeight="1"/>
    <row r="174" s="2" customFormat="1" ht="14.25" customHeight="1"/>
    <row r="175" s="2" customFormat="1" ht="14.25" customHeight="1"/>
    <row r="176" s="2" customFormat="1" ht="14.25" customHeight="1"/>
    <row r="177" s="2" customFormat="1" ht="14.25" customHeight="1"/>
    <row r="178" s="2" customFormat="1" ht="14.25" customHeight="1"/>
    <row r="179" s="2" customFormat="1" ht="14.25" customHeight="1"/>
    <row r="180" s="2" customFormat="1" ht="14.25" customHeight="1"/>
    <row r="181" s="2" customFormat="1" ht="14.25" customHeight="1"/>
    <row r="182" s="2" customFormat="1" ht="14.25" customHeight="1"/>
    <row r="183" s="2" customFormat="1" ht="14.25" customHeight="1"/>
    <row r="184" s="2" customFormat="1" ht="14.25" customHeight="1"/>
    <row r="185" s="2" customFormat="1" ht="14.25" customHeight="1"/>
    <row r="186" s="2" customFormat="1" ht="14.25" customHeight="1"/>
    <row r="187" s="2" customFormat="1" ht="14.25" customHeight="1"/>
    <row r="188" s="2" customFormat="1" ht="14.25" customHeight="1"/>
    <row r="189" s="2" customFormat="1" ht="14.25" customHeight="1"/>
    <row r="190" s="2" customFormat="1" ht="14.25" customHeight="1"/>
    <row r="191" s="2" customFormat="1" ht="14.25" customHeight="1"/>
    <row r="192" s="2" customFormat="1" ht="14.25" customHeight="1"/>
    <row r="193" s="2" customFormat="1" ht="14.25" customHeight="1"/>
    <row r="194" s="2" customFormat="1" ht="14.25" customHeight="1"/>
    <row r="195" s="2" customFormat="1" ht="14.25" customHeight="1"/>
    <row r="196" s="2" customFormat="1" ht="14.25" customHeight="1"/>
    <row r="197" s="2" customFormat="1" ht="14.25" customHeight="1"/>
    <row r="198" s="2" customFormat="1" ht="14.25" customHeight="1"/>
    <row r="199" s="2" customFormat="1" ht="14.25" customHeight="1"/>
    <row r="200" s="2" customFormat="1" ht="14.25" customHeight="1"/>
    <row r="201" s="2" customFormat="1" ht="14.25" customHeight="1"/>
    <row r="202" s="2" customFormat="1" ht="14.25" customHeight="1"/>
    <row r="203" s="2" customFormat="1" ht="14.25" customHeight="1"/>
    <row r="204" s="2" customFormat="1" ht="14.25" customHeight="1"/>
    <row r="205" s="2" customFormat="1" ht="14.25" customHeight="1"/>
    <row r="206" s="2" customFormat="1" ht="14.25" customHeight="1"/>
    <row r="207" s="2" customFormat="1" ht="14.25" customHeight="1"/>
    <row r="208" s="2" customFormat="1" ht="14.25" customHeight="1"/>
    <row r="209" s="2" customFormat="1" ht="14.25" customHeight="1"/>
    <row r="210" s="2" customFormat="1" ht="14.25" customHeight="1"/>
    <row r="211" s="2" customFormat="1" ht="14.25" customHeight="1"/>
    <row r="212" s="2" customFormat="1" ht="14.25" customHeight="1"/>
    <row r="213" s="2" customFormat="1" ht="14.25" customHeight="1"/>
    <row r="214" s="2" customFormat="1" ht="14.25" customHeight="1"/>
    <row r="215" s="2" customFormat="1" ht="14.25" customHeight="1"/>
    <row r="216" s="2" customFormat="1" ht="14.25" customHeight="1"/>
    <row r="217" s="2" customFormat="1" ht="14.25" customHeight="1"/>
    <row r="218" s="2" customFormat="1" ht="14.25" customHeight="1"/>
    <row r="219" s="2" customFormat="1" ht="14.25" customHeight="1"/>
    <row r="220" s="2" customFormat="1" ht="14.25" customHeight="1"/>
    <row r="221" s="2" customFormat="1" ht="14.25" customHeight="1"/>
    <row r="222" s="2" customFormat="1" ht="14.25" customHeight="1"/>
    <row r="223" s="2" customFormat="1" ht="14.25" customHeight="1"/>
    <row r="224" s="2" customFormat="1" ht="14.25" customHeight="1"/>
    <row r="225" s="2" customFormat="1" ht="14.25" customHeight="1"/>
    <row r="226" s="2" customFormat="1" ht="14.25" customHeight="1"/>
    <row r="227" s="2" customFormat="1" ht="14.25" customHeight="1"/>
    <row r="228" s="2" customFormat="1" ht="14.25" customHeight="1"/>
    <row r="229" s="2" customFormat="1" ht="14.25" customHeight="1"/>
    <row r="230" s="2" customFormat="1" ht="14.25" customHeight="1"/>
    <row r="231" s="2" customFormat="1" ht="14.25" customHeight="1"/>
    <row r="232" s="2" customFormat="1" ht="14.25" customHeight="1"/>
    <row r="233" s="2" customFormat="1" ht="14.25" customHeight="1"/>
    <row r="234" s="2" customFormat="1" ht="14.25" customHeight="1"/>
    <row r="235" s="2" customFormat="1" ht="14.25" customHeight="1"/>
    <row r="236" s="2" customFormat="1" ht="14.25" customHeight="1"/>
    <row r="237" s="2" customFormat="1" ht="14.25" customHeight="1"/>
    <row r="238" s="2" customFormat="1" ht="14.25" customHeight="1"/>
    <row r="239" s="2" customFormat="1" ht="14.25" customHeight="1"/>
    <row r="240" s="2" customFormat="1" ht="14.25" customHeight="1"/>
    <row r="241" s="2" customFormat="1" ht="14.25" customHeight="1"/>
    <row r="242" s="2" customFormat="1" ht="14.25" customHeight="1"/>
    <row r="243" s="2" customFormat="1" ht="14.25" customHeight="1"/>
    <row r="244" s="2" customFormat="1" ht="14.25" customHeight="1"/>
    <row r="245" s="2" customFormat="1" ht="14.25" customHeight="1"/>
    <row r="246" s="2" customFormat="1" ht="14.25" customHeight="1"/>
    <row r="247" s="2" customFormat="1" ht="14.25" customHeight="1"/>
    <row r="248" s="2" customFormat="1" ht="14.25" customHeight="1"/>
    <row r="249" s="2" customFormat="1" ht="14.25" customHeight="1"/>
    <row r="250" s="2" customFormat="1" ht="14.25" customHeight="1"/>
    <row r="251" s="2" customFormat="1" ht="14.25" customHeight="1"/>
    <row r="252" s="2" customFormat="1" ht="14.25" customHeight="1"/>
    <row r="253" s="2" customFormat="1" ht="14.25" customHeight="1"/>
    <row r="254" s="2" customFormat="1" ht="14.25" customHeight="1"/>
    <row r="255" s="2" customFormat="1" ht="14.25" customHeight="1"/>
    <row r="256" s="2" customFormat="1" ht="14.25" customHeight="1"/>
    <row r="257" s="2" customFormat="1" ht="14.25" customHeight="1"/>
    <row r="258" s="2" customFormat="1" ht="14.25" customHeight="1"/>
    <row r="259" s="2" customFormat="1" ht="14.25" customHeight="1"/>
    <row r="260" s="2" customFormat="1" ht="14.25" customHeight="1"/>
    <row r="261" s="2" customFormat="1" ht="14.25" customHeight="1"/>
    <row r="262" s="2" customFormat="1" ht="14.25" customHeight="1"/>
    <row r="263" s="2" customFormat="1" ht="14.25" customHeight="1"/>
    <row r="264" s="2" customFormat="1" ht="14.25" customHeight="1"/>
    <row r="265" s="2" customFormat="1" ht="14.25" customHeight="1"/>
    <row r="266" s="2" customFormat="1" ht="14.25" customHeight="1"/>
    <row r="267" s="2" customFormat="1" ht="14.25" customHeight="1"/>
    <row r="268" s="2" customFormat="1" ht="14.25" customHeight="1"/>
    <row r="269" s="2" customFormat="1" ht="14.25" customHeight="1"/>
    <row r="270" s="2" customFormat="1" ht="14.25" customHeight="1"/>
    <row r="271" s="2" customFormat="1" ht="14.25" customHeight="1"/>
    <row r="272" s="2" customFormat="1" ht="14.25" customHeight="1"/>
    <row r="273" s="2" customFormat="1" ht="14.25" customHeight="1"/>
    <row r="274" s="2" customFormat="1" ht="14.25" customHeight="1"/>
    <row r="275" s="2" customFormat="1" ht="14.25" customHeight="1"/>
    <row r="276" s="2" customFormat="1" ht="14.25" customHeight="1"/>
    <row r="277" s="2" customFormat="1" ht="14.25" customHeight="1"/>
    <row r="278" s="2" customFormat="1" ht="14.25" customHeight="1"/>
    <row r="279" s="2" customFormat="1" ht="14.25" customHeight="1"/>
    <row r="280" s="2" customFormat="1" ht="14.25" customHeight="1"/>
    <row r="281" s="2" customFormat="1" ht="14.25" customHeight="1"/>
    <row r="282" s="2" customFormat="1" ht="14.25" customHeight="1"/>
    <row r="283" s="2" customFormat="1" ht="14.25" customHeight="1"/>
    <row r="284" s="2" customFormat="1" ht="14.25" customHeight="1"/>
    <row r="285" s="2" customFormat="1" ht="14.25" customHeight="1"/>
    <row r="286" s="2" customFormat="1" ht="14.25" customHeight="1"/>
    <row r="287" s="2" customFormat="1" ht="14.25" customHeight="1"/>
    <row r="288" s="2" customFormat="1" ht="14.25" customHeight="1"/>
    <row r="289" s="2" customFormat="1" ht="14.25" customHeight="1"/>
    <row r="290" s="2" customFormat="1" ht="14.25" customHeight="1"/>
    <row r="291" s="2" customFormat="1" ht="14.25" customHeight="1"/>
    <row r="292" s="2" customFormat="1" ht="14.25" customHeight="1"/>
    <row r="293" s="2" customFormat="1" ht="14.25" customHeight="1"/>
    <row r="294" s="2" customFormat="1" ht="14.25" customHeight="1"/>
    <row r="295" s="2" customFormat="1" ht="14.25" customHeight="1"/>
    <row r="296" s="2" customFormat="1" ht="14.25" customHeight="1"/>
    <row r="297" s="2" customFormat="1" ht="14.25" customHeight="1"/>
    <row r="298" s="2" customFormat="1" ht="14.25" customHeight="1"/>
    <row r="299" s="2" customFormat="1" ht="14.25" customHeight="1"/>
    <row r="300" s="2" customFormat="1" ht="14.25" customHeight="1"/>
    <row r="301" s="2" customFormat="1" ht="14.25" customHeight="1"/>
    <row r="302" s="2" customFormat="1" ht="14.25" customHeight="1"/>
    <row r="303" s="2" customFormat="1" ht="14.25" customHeight="1"/>
    <row r="304" s="2" customFormat="1" ht="14.25" customHeight="1"/>
    <row r="305" s="2" customFormat="1" ht="14.25" customHeight="1"/>
    <row r="306" s="2" customFormat="1" ht="14.25" customHeight="1"/>
    <row r="307" s="2" customFormat="1" ht="14.25" customHeight="1"/>
    <row r="308" s="2" customFormat="1" ht="14.25" customHeight="1"/>
    <row r="309" s="2" customFormat="1" ht="14.25" customHeight="1"/>
    <row r="310" s="2" customFormat="1" ht="14.25" customHeight="1"/>
    <row r="311" s="2" customFormat="1" ht="14.25" customHeight="1"/>
    <row r="312" s="2" customFormat="1" ht="14.25" customHeight="1"/>
    <row r="313" s="2" customFormat="1" ht="14.25" customHeight="1"/>
    <row r="314" s="2" customFormat="1" ht="14.25" customHeight="1"/>
    <row r="315" s="2" customFormat="1" ht="14.25" customHeight="1"/>
    <row r="316" s="2" customFormat="1" ht="14.25" customHeight="1"/>
    <row r="317" s="2" customFormat="1" ht="14.25" customHeight="1"/>
    <row r="318" s="2" customFormat="1" ht="14.25" customHeight="1"/>
    <row r="319" s="2" customFormat="1" ht="14.25" customHeight="1"/>
    <row r="320" s="2" customFormat="1" ht="14.25" customHeight="1"/>
    <row r="321" s="2" customFormat="1" ht="14.25" customHeight="1"/>
    <row r="322" s="2" customFormat="1" ht="14.25" customHeight="1"/>
    <row r="323" s="2" customFormat="1" ht="14.25" customHeight="1"/>
    <row r="324" s="2" customFormat="1" ht="14.25" customHeight="1"/>
    <row r="325" s="2" customFormat="1" ht="14.25" customHeight="1"/>
    <row r="326" s="2" customFormat="1" ht="14.25" customHeight="1"/>
    <row r="327" s="2" customFormat="1" ht="14.25" customHeight="1"/>
    <row r="328" s="2" customFormat="1" ht="14.25" customHeight="1"/>
    <row r="329" s="2" customFormat="1" ht="14.25" customHeight="1"/>
    <row r="330" s="2" customFormat="1" ht="14.25" customHeight="1"/>
    <row r="331" s="2" customFormat="1" ht="14.25" customHeight="1"/>
    <row r="332" s="2" customFormat="1" ht="14.25" customHeight="1"/>
    <row r="333" s="2" customFormat="1" ht="14.25" customHeight="1"/>
    <row r="334" s="2" customFormat="1" ht="14.25" customHeight="1"/>
    <row r="335" s="2" customFormat="1" ht="14.25" customHeight="1"/>
    <row r="336" s="2" customFormat="1" ht="14.25" customHeight="1"/>
    <row r="337" s="2" customFormat="1" ht="14.25" customHeight="1"/>
    <row r="338" s="2" customFormat="1" ht="14.25" customHeight="1"/>
    <row r="339" s="2" customFormat="1" ht="14.25" customHeight="1"/>
    <row r="340" s="2" customFormat="1" ht="14.25" customHeight="1"/>
    <row r="341" s="2" customFormat="1" ht="14.25" customHeight="1"/>
    <row r="342" s="2" customFormat="1" ht="14.25" customHeight="1"/>
    <row r="343" s="2" customFormat="1" ht="14.25" customHeight="1"/>
    <row r="344" s="2" customFormat="1" ht="14.25" customHeight="1"/>
    <row r="345" s="2" customFormat="1" ht="14.25" customHeight="1"/>
    <row r="346" s="2" customFormat="1" ht="14.25" customHeight="1"/>
    <row r="347" s="2" customFormat="1" ht="14.25" customHeight="1"/>
    <row r="348" s="2" customFormat="1" ht="14.25" customHeight="1"/>
    <row r="349" s="2" customFormat="1" ht="14.25" customHeight="1"/>
    <row r="350" s="2" customFormat="1" ht="14.25" customHeight="1"/>
    <row r="351" s="2" customFormat="1" ht="14.25" customHeight="1"/>
    <row r="352" s="2" customFormat="1" ht="14.25" customHeight="1"/>
    <row r="353" s="2" customFormat="1" ht="14.25" customHeight="1"/>
    <row r="354" s="2" customFormat="1" ht="14.25" customHeight="1"/>
    <row r="355" s="2" customFormat="1" ht="14.25" customHeight="1"/>
    <row r="356" s="2" customFormat="1" ht="14.25" customHeight="1"/>
    <row r="357" s="2" customFormat="1" ht="14.25" customHeight="1"/>
    <row r="358" s="2" customFormat="1" ht="14.25" customHeight="1"/>
    <row r="359" s="2" customFormat="1" ht="14.25" customHeight="1"/>
    <row r="360" s="2" customFormat="1" ht="14.25" customHeight="1"/>
    <row r="361" s="2" customFormat="1" ht="14.25" customHeight="1"/>
    <row r="362" s="2" customFormat="1" ht="14.25" customHeight="1"/>
    <row r="363" s="2" customFormat="1" ht="14.25" customHeight="1"/>
    <row r="364" s="2" customFormat="1" ht="14.25" customHeight="1"/>
    <row r="365" s="2" customFormat="1" ht="14.25" customHeight="1"/>
    <row r="366" s="2" customFormat="1" ht="14.25" customHeight="1"/>
    <row r="367" s="2" customFormat="1" ht="14.25" customHeight="1"/>
    <row r="368" s="2" customFormat="1" ht="14.25" customHeight="1"/>
    <row r="369" s="2" customFormat="1" ht="14.25" customHeight="1"/>
    <row r="370" s="2" customFormat="1" ht="14.25" customHeight="1"/>
    <row r="371" s="2" customFormat="1" ht="14.25" customHeight="1"/>
    <row r="372" s="2" customFormat="1" ht="14.25" customHeight="1"/>
    <row r="373" s="2" customFormat="1" ht="14.25" customHeight="1"/>
    <row r="374" s="2" customFormat="1" ht="14.25" customHeight="1"/>
    <row r="375" s="2" customFormat="1" ht="14.25" customHeight="1"/>
    <row r="376" s="2" customFormat="1" ht="14.25" customHeight="1"/>
    <row r="377" s="2" customFormat="1" ht="14.25" customHeight="1"/>
    <row r="378" s="2" customFormat="1" ht="14.25" customHeight="1"/>
    <row r="379" s="2" customFormat="1" ht="14.25" customHeight="1"/>
    <row r="380" s="2" customFormat="1" ht="14.25" customHeight="1"/>
    <row r="381" s="2" customFormat="1" ht="14.25" customHeight="1"/>
    <row r="382" s="2" customFormat="1" ht="14.25" customHeight="1"/>
    <row r="383" s="2" customFormat="1" ht="14.25" customHeight="1"/>
    <row r="384" s="2" customFormat="1" ht="14.25" customHeight="1"/>
    <row r="385" s="2" customFormat="1" ht="14.25" customHeight="1"/>
    <row r="386" s="2" customFormat="1" ht="14.25" customHeight="1"/>
    <row r="387" s="2" customFormat="1" ht="14.25" customHeight="1"/>
    <row r="388" s="2" customFormat="1" ht="14.25" customHeight="1"/>
    <row r="389" s="2" customFormat="1" ht="14.25" customHeight="1"/>
    <row r="390" s="2" customFormat="1" ht="14.25" customHeight="1"/>
    <row r="391" s="2" customFormat="1" ht="14.25" customHeight="1"/>
    <row r="392" s="2" customFormat="1" ht="14.25" customHeight="1"/>
    <row r="393" s="2" customFormat="1" ht="14.25" customHeight="1"/>
    <row r="394" s="2" customFormat="1" ht="14.25" customHeight="1"/>
    <row r="395" s="2" customFormat="1" ht="14.25" customHeight="1"/>
    <row r="396" s="2" customFormat="1" ht="14.25" customHeight="1"/>
    <row r="397" s="2" customFormat="1" ht="14.25" customHeight="1"/>
    <row r="398" s="2" customFormat="1" ht="14.25" customHeight="1"/>
    <row r="399" s="2" customFormat="1" ht="14.25" customHeight="1"/>
    <row r="400" s="2" customFormat="1" ht="14.25" customHeight="1"/>
    <row r="401" s="2" customFormat="1" ht="14.25" customHeight="1"/>
    <row r="402" s="2" customFormat="1" ht="14.25" customHeight="1"/>
    <row r="403" s="2" customFormat="1" ht="14.25" customHeight="1"/>
    <row r="404" s="2" customFormat="1" ht="14.25" customHeight="1"/>
    <row r="405" s="2" customFormat="1" ht="14.25" customHeight="1"/>
    <row r="406" s="2" customFormat="1" ht="14.25" customHeight="1"/>
    <row r="407" s="2" customFormat="1" ht="14.25" customHeight="1"/>
    <row r="408" s="2" customFormat="1" ht="14.25" customHeight="1"/>
    <row r="409" s="2" customFormat="1" ht="14.25" customHeight="1"/>
    <row r="410" s="2" customFormat="1" ht="14.25" customHeight="1"/>
    <row r="411" s="2" customFormat="1" ht="14.25" customHeight="1"/>
    <row r="412" s="2" customFormat="1" ht="14.25" customHeight="1"/>
    <row r="413" s="2" customFormat="1" ht="14.25" customHeight="1"/>
    <row r="414" s="2" customFormat="1" ht="14.25" customHeight="1"/>
    <row r="415" s="2" customFormat="1" ht="14.25" customHeight="1"/>
    <row r="416" s="2" customFormat="1" ht="14.25" customHeight="1"/>
    <row r="417" s="2" customFormat="1" ht="14.25" customHeight="1"/>
    <row r="418" s="2" customFormat="1" ht="14.25" customHeight="1"/>
    <row r="419" s="2" customFormat="1" ht="14.25" customHeight="1"/>
    <row r="420" s="2" customFormat="1" ht="14.25" customHeight="1"/>
    <row r="421" s="2" customFormat="1" ht="14.25" customHeight="1"/>
    <row r="422" s="2" customFormat="1" ht="14.25" customHeight="1"/>
    <row r="423" s="2" customFormat="1" ht="14.25" customHeight="1"/>
    <row r="424" s="2" customFormat="1" ht="14.25" customHeight="1"/>
    <row r="425" s="2" customFormat="1" ht="14.25" customHeight="1"/>
    <row r="426" s="2" customFormat="1" ht="14.25" customHeight="1"/>
    <row r="427" s="2" customFormat="1" ht="14.25" customHeight="1"/>
    <row r="428" s="2" customFormat="1" ht="14.25" customHeight="1"/>
    <row r="429" s="2" customFormat="1" ht="14.25" customHeight="1"/>
    <row r="430" s="2" customFormat="1" ht="14.25" customHeight="1"/>
    <row r="431" s="2" customFormat="1" ht="14.25" customHeight="1"/>
    <row r="432" s="2" customFormat="1" ht="14.25" customHeight="1"/>
    <row r="433" s="2" customFormat="1" ht="14.25" customHeight="1"/>
    <row r="434" s="2" customFormat="1" ht="14.25" customHeight="1"/>
    <row r="435" s="2" customFormat="1" ht="14.25" customHeight="1"/>
    <row r="436" s="2" customFormat="1" ht="14.25" customHeight="1"/>
    <row r="437" s="2" customFormat="1" ht="14.25" customHeight="1"/>
    <row r="438" s="2" customFormat="1" ht="14.25" customHeight="1"/>
    <row r="439" s="2" customFormat="1" ht="14.25" customHeight="1"/>
    <row r="440" s="2" customFormat="1" ht="14.25" customHeight="1"/>
    <row r="441" s="2" customFormat="1" ht="14.25" customHeight="1"/>
    <row r="442" s="2" customFormat="1" ht="14.25" customHeight="1"/>
    <row r="443" s="2" customFormat="1" ht="14.25" customHeight="1"/>
    <row r="444" s="2" customFormat="1" ht="14.25" customHeight="1"/>
    <row r="445" s="2" customFormat="1" ht="14.25" customHeight="1"/>
    <row r="446" s="2" customFormat="1" ht="14.25" customHeight="1"/>
    <row r="447" s="2" customFormat="1" ht="14.25" customHeight="1"/>
    <row r="448" s="2" customFormat="1" ht="14.25" customHeight="1"/>
    <row r="449" s="2" customFormat="1" ht="14.25" customHeight="1"/>
    <row r="450" s="2" customFormat="1" ht="14.25" customHeight="1"/>
    <row r="451" s="2" customFormat="1" ht="14.25" customHeight="1"/>
    <row r="452" s="2" customFormat="1" ht="14.25" customHeight="1"/>
    <row r="453" s="2" customFormat="1" ht="14.25" customHeight="1"/>
    <row r="454" s="2" customFormat="1" ht="14.25" customHeight="1"/>
    <row r="455" s="2" customFormat="1" ht="14.25" customHeight="1"/>
    <row r="456" s="2" customFormat="1" ht="14.25" customHeight="1"/>
    <row r="457" s="2" customFormat="1" ht="14.25" customHeight="1"/>
    <row r="458" s="2" customFormat="1" ht="14.25" customHeight="1"/>
    <row r="459" s="2" customFormat="1" ht="14.25" customHeight="1"/>
    <row r="460" s="2" customFormat="1" ht="14.25" customHeight="1"/>
    <row r="461" s="2" customFormat="1" ht="14.25" customHeight="1"/>
    <row r="462" s="2" customFormat="1" ht="14.25" customHeight="1"/>
    <row r="463" s="2" customFormat="1" ht="14.25" customHeight="1"/>
    <row r="464" s="2" customFormat="1" ht="14.25" customHeight="1"/>
    <row r="465" s="2" customFormat="1" ht="14.25" customHeight="1"/>
    <row r="466" s="2" customFormat="1" ht="14.25" customHeight="1"/>
    <row r="467" s="2" customFormat="1" ht="14.25" customHeight="1"/>
    <row r="468" s="2" customFormat="1" ht="14.25" customHeight="1"/>
    <row r="469" s="2" customFormat="1" ht="14.25" customHeight="1"/>
    <row r="470" s="2" customFormat="1" ht="14.25" customHeight="1"/>
    <row r="471" s="2" customFormat="1" ht="14.25" customHeight="1"/>
    <row r="472" s="2" customFormat="1" ht="14.25" customHeight="1"/>
    <row r="473" s="2" customFormat="1" ht="14.25" customHeight="1"/>
    <row r="474" s="2" customFormat="1" ht="14.25" customHeight="1"/>
    <row r="475" s="2" customFormat="1" ht="14.25" customHeight="1"/>
    <row r="476" s="2" customFormat="1" ht="14.25" customHeight="1"/>
    <row r="477" s="2" customFormat="1" ht="14.25" customHeight="1"/>
    <row r="478" s="2" customFormat="1" ht="14.25" customHeight="1"/>
    <row r="479" s="2" customFormat="1" ht="14.25" customHeight="1"/>
    <row r="480" s="2" customFormat="1" ht="14.25" customHeight="1"/>
    <row r="481" s="2" customFormat="1" ht="14.25" customHeight="1"/>
    <row r="482" s="2" customFormat="1" ht="14.25" customHeight="1"/>
    <row r="483" s="2" customFormat="1" ht="14.25" customHeight="1"/>
    <row r="484" s="2" customFormat="1" ht="14.25" customHeight="1"/>
    <row r="485" s="2" customFormat="1" ht="14.25" customHeight="1"/>
    <row r="486" s="2" customFormat="1" ht="14.25" customHeight="1"/>
    <row r="487" s="2" customFormat="1" ht="14.25" customHeight="1"/>
    <row r="488" s="2" customFormat="1" ht="14.25" customHeight="1"/>
    <row r="489" s="2" customFormat="1" ht="14.25" customHeight="1"/>
    <row r="490" s="2" customFormat="1" ht="14.25" customHeight="1"/>
    <row r="491" s="2" customFormat="1" ht="14.25" customHeight="1"/>
    <row r="492" s="2" customFormat="1" ht="14.25" customHeight="1"/>
    <row r="493" s="2" customFormat="1" ht="14.25" customHeight="1"/>
    <row r="494" s="2" customFormat="1" ht="14.25" customHeight="1"/>
    <row r="495" s="2" customFormat="1" ht="14.25" customHeight="1"/>
    <row r="496" s="2" customFormat="1" ht="14.25" customHeight="1"/>
    <row r="497" s="2" customFormat="1" ht="14.25" customHeight="1"/>
    <row r="498" s="2" customFormat="1" ht="14.25" customHeight="1"/>
    <row r="499" s="2" customFormat="1" ht="14.25" customHeight="1"/>
    <row r="500" s="2" customFormat="1" ht="14.25" customHeight="1"/>
    <row r="501" s="2" customFormat="1" ht="14.25" customHeight="1"/>
    <row r="502" s="2" customFormat="1" ht="14.25" customHeight="1"/>
    <row r="503" s="2" customFormat="1" ht="14.25" customHeight="1"/>
    <row r="504" s="2" customFormat="1" ht="14.25" customHeight="1"/>
    <row r="505" s="2" customFormat="1" ht="14.25" customHeight="1"/>
    <row r="506" s="2" customFormat="1" ht="14.25" customHeight="1"/>
    <row r="507" s="2" customFormat="1" ht="14.25" customHeight="1"/>
    <row r="508" s="2" customFormat="1" ht="14.25" customHeight="1"/>
    <row r="509" s="2" customFormat="1" ht="14.25" customHeight="1"/>
    <row r="510" s="2" customFormat="1" ht="14.25" customHeight="1"/>
    <row r="511" s="2" customFormat="1" ht="14.25" customHeight="1"/>
    <row r="512" s="2" customFormat="1" ht="14.25" customHeight="1"/>
    <row r="513" s="2" customFormat="1" ht="14.25" customHeight="1"/>
    <row r="514" s="2" customFormat="1" ht="14.25" customHeight="1"/>
    <row r="515" s="2" customFormat="1" ht="14.25" customHeight="1"/>
    <row r="516" s="2" customFormat="1" ht="14.25" customHeight="1"/>
    <row r="517" s="2" customFormat="1" ht="14.25" customHeight="1"/>
    <row r="518" s="2" customFormat="1" ht="14.25" customHeight="1"/>
    <row r="519" s="2" customFormat="1" ht="14.25" customHeight="1"/>
    <row r="520" s="2" customFormat="1" ht="14.25" customHeight="1"/>
    <row r="521" s="2" customFormat="1" ht="14.25" customHeight="1"/>
    <row r="522" s="2" customFormat="1" ht="14.25" customHeight="1"/>
    <row r="523" s="2" customFormat="1" ht="14.25" customHeight="1"/>
    <row r="524" s="2" customFormat="1" ht="14.25" customHeight="1"/>
    <row r="525" s="2" customFormat="1" ht="14.25" customHeight="1"/>
    <row r="526" s="2" customFormat="1" ht="14.25" customHeight="1"/>
    <row r="527" s="2" customFormat="1" ht="14.25" customHeight="1"/>
    <row r="528" s="2" customFormat="1" ht="14.25" customHeight="1"/>
    <row r="529" s="2" customFormat="1" ht="14.25" customHeight="1"/>
    <row r="530" s="2" customFormat="1" ht="14.25" customHeight="1"/>
    <row r="531" s="2" customFormat="1" ht="14.25" customHeight="1"/>
    <row r="532" s="2" customFormat="1" ht="14.25" customHeight="1"/>
    <row r="533" s="2" customFormat="1" ht="14.25" customHeight="1"/>
    <row r="534" s="2" customFormat="1" ht="14.25" customHeight="1"/>
    <row r="535" s="2" customFormat="1" ht="14.25" customHeight="1"/>
    <row r="536" s="2" customFormat="1" ht="14.25" customHeight="1"/>
    <row r="537" s="2" customFormat="1" ht="14.25" customHeight="1"/>
    <row r="538" s="2" customFormat="1" ht="14.25" customHeight="1"/>
    <row r="539" s="2" customFormat="1" ht="14.25" customHeight="1"/>
    <row r="540" s="2" customFormat="1" ht="14.25" customHeight="1"/>
    <row r="541" s="2" customFormat="1" ht="14.25" customHeight="1"/>
    <row r="542" s="2" customFormat="1" ht="14.25" customHeight="1"/>
    <row r="543" s="2" customFormat="1" ht="14.25" customHeight="1"/>
    <row r="544" s="2" customFormat="1" ht="14.25" customHeight="1"/>
    <row r="545" s="2" customFormat="1" ht="14.25" customHeight="1"/>
    <row r="546" s="2" customFormat="1" ht="14.25" customHeight="1"/>
    <row r="547" s="2" customFormat="1" ht="14.25" customHeight="1"/>
    <row r="548" s="2" customFormat="1" ht="14.25" customHeight="1"/>
    <row r="549" s="2" customFormat="1" ht="14.25" customHeight="1"/>
    <row r="550" s="2" customFormat="1" ht="14.25" customHeight="1"/>
    <row r="551" s="2" customFormat="1" ht="14.25" customHeight="1"/>
    <row r="552" s="2" customFormat="1" ht="14.25" customHeight="1"/>
    <row r="553" s="2" customFormat="1" ht="14.25" customHeight="1"/>
    <row r="554" s="2" customFormat="1" ht="14.25" customHeight="1"/>
    <row r="555" s="2" customFormat="1" ht="14.25" customHeight="1"/>
    <row r="556" s="2" customFormat="1" ht="14.25" customHeight="1"/>
    <row r="557" s="2" customFormat="1" ht="14.25" customHeight="1"/>
    <row r="558" s="2" customFormat="1" ht="14.25" customHeight="1"/>
    <row r="559" s="2" customFormat="1" ht="14.25" customHeight="1"/>
    <row r="560" s="2" customFormat="1" ht="14.25" customHeight="1"/>
    <row r="561" s="2" customFormat="1" ht="14.25" customHeight="1"/>
    <row r="562" s="2" customFormat="1" ht="14.25" customHeight="1"/>
    <row r="563" s="2" customFormat="1" ht="14.25" customHeight="1"/>
    <row r="564" s="2" customFormat="1" ht="14.25" customHeight="1"/>
    <row r="565" s="2" customFormat="1" ht="14.25" customHeight="1"/>
    <row r="566" s="2" customFormat="1" ht="14.25" customHeight="1"/>
    <row r="567" s="2" customFormat="1" ht="14.25" customHeight="1"/>
    <row r="568" s="2" customFormat="1" ht="14.25" customHeight="1"/>
    <row r="569" s="2" customFormat="1" ht="14.25" customHeight="1"/>
    <row r="570" s="2" customFormat="1" ht="14.25" customHeight="1"/>
    <row r="571" s="2" customFormat="1" ht="14.25" customHeight="1"/>
    <row r="572" s="2" customFormat="1" ht="14.25" customHeight="1"/>
    <row r="573" s="2" customFormat="1" ht="14.25" customHeight="1"/>
    <row r="574" s="2" customFormat="1" ht="14.25" customHeight="1"/>
    <row r="575" s="2" customFormat="1" ht="14.25" customHeight="1"/>
    <row r="576" s="2" customFormat="1" ht="14.25" customHeight="1"/>
    <row r="577" s="2" customFormat="1" ht="14.25" customHeight="1"/>
    <row r="578" s="2" customFormat="1" ht="14.25" customHeight="1"/>
    <row r="579" s="2" customFormat="1" ht="14.25" customHeight="1"/>
    <row r="580" s="2" customFormat="1" ht="14.25" customHeight="1"/>
    <row r="581" s="2" customFormat="1" ht="14.25" customHeight="1"/>
    <row r="582" s="2" customFormat="1" ht="14.25" customHeight="1"/>
    <row r="583" s="2" customFormat="1" ht="14.25" customHeight="1"/>
    <row r="584" s="2" customFormat="1" ht="14.25" customHeight="1"/>
    <row r="585" s="2" customFormat="1" ht="14.25" customHeight="1"/>
    <row r="586" s="2" customFormat="1" ht="14.25" customHeight="1"/>
    <row r="587" s="2" customFormat="1" ht="14.25" customHeight="1"/>
    <row r="588" s="2" customFormat="1" ht="14.25" customHeight="1"/>
    <row r="589" s="2" customFormat="1" ht="14.25" customHeight="1"/>
    <row r="590" s="2" customFormat="1" ht="14.25" customHeight="1"/>
    <row r="591" s="2" customFormat="1" ht="14.25" customHeight="1"/>
    <row r="592" s="2" customFormat="1" ht="14.25" customHeight="1"/>
    <row r="593" s="2" customFormat="1" ht="14.25" customHeight="1"/>
    <row r="594" s="2" customFormat="1" ht="14.25" customHeight="1"/>
    <row r="595" s="2" customFormat="1" ht="14.25" customHeight="1"/>
    <row r="596" s="2" customFormat="1" ht="14.25" customHeight="1"/>
    <row r="597" s="2" customFormat="1" ht="14.25" customHeight="1"/>
    <row r="598" s="2" customFormat="1" ht="14.25" customHeight="1"/>
    <row r="599" s="2" customFormat="1" ht="14.25" customHeight="1"/>
    <row r="600" s="2" customFormat="1" ht="14.25" customHeight="1"/>
    <row r="601" s="2" customFormat="1" ht="14.25" customHeight="1"/>
    <row r="602" s="2" customFormat="1" ht="14.25" customHeight="1"/>
    <row r="603" s="2" customFormat="1" ht="14.25" customHeight="1"/>
    <row r="604" s="2" customFormat="1" ht="14.25" customHeight="1"/>
    <row r="605" s="2" customFormat="1" ht="14.25" customHeight="1"/>
    <row r="606" s="2" customFormat="1" ht="14.25" customHeight="1"/>
    <row r="607" s="2" customFormat="1" ht="14.25" customHeight="1"/>
    <row r="608" s="2" customFormat="1" ht="14.25" customHeight="1"/>
    <row r="609" s="2" customFormat="1" ht="14.25" customHeight="1"/>
    <row r="610" s="2" customFormat="1" ht="14.25" customHeight="1"/>
    <row r="611" s="2" customFormat="1" ht="14.25" customHeight="1"/>
    <row r="612" s="2" customFormat="1" ht="14.25" customHeight="1"/>
    <row r="613" s="2" customFormat="1" ht="14.25" customHeight="1"/>
    <row r="614" s="2" customFormat="1" ht="14.25" customHeight="1"/>
    <row r="615" s="2" customFormat="1" ht="14.25" customHeight="1"/>
    <row r="616" s="2" customFormat="1" ht="14.25" customHeight="1"/>
    <row r="617" s="2" customFormat="1" ht="14.25" customHeight="1"/>
    <row r="618" s="2" customFormat="1" ht="14.25" customHeight="1"/>
    <row r="619" s="2" customFormat="1" ht="14.25" customHeight="1"/>
    <row r="620" s="2" customFormat="1" ht="14.25" customHeight="1"/>
    <row r="621" s="2" customFormat="1" ht="14.25" customHeight="1"/>
    <row r="622" s="2" customFormat="1" ht="14.25" customHeight="1"/>
    <row r="623" s="2" customFormat="1" ht="14.25" customHeight="1"/>
    <row r="624" s="2" customFormat="1" ht="14.25" customHeight="1"/>
    <row r="625" s="2" customFormat="1" ht="14.25" customHeight="1"/>
    <row r="626" s="2" customFormat="1" ht="14.25" customHeight="1"/>
    <row r="627" s="2" customFormat="1" ht="14.25" customHeight="1"/>
    <row r="628" s="2" customFormat="1" ht="14.25" customHeight="1"/>
    <row r="629" s="2" customFormat="1" ht="14.25" customHeight="1"/>
    <row r="630" s="2" customFormat="1" ht="14.25" customHeight="1"/>
    <row r="631" s="2" customFormat="1" ht="14.25" customHeight="1"/>
    <row r="632" s="2" customFormat="1" ht="14.25" customHeight="1"/>
    <row r="633" s="2" customFormat="1" ht="14.25" customHeight="1"/>
    <row r="634" s="2" customFormat="1" ht="14.25" customHeight="1"/>
    <row r="635" s="2" customFormat="1" ht="14.25" customHeight="1"/>
    <row r="636" s="2" customFormat="1" ht="14.25" customHeight="1"/>
    <row r="637" s="2" customFormat="1" ht="14.25" customHeight="1"/>
    <row r="638" s="2" customFormat="1" ht="14.25" customHeight="1"/>
    <row r="639" s="2" customFormat="1" ht="14.25" customHeight="1"/>
    <row r="640" s="2" customFormat="1" ht="14.25" customHeight="1"/>
    <row r="641" s="2" customFormat="1" ht="14.25" customHeight="1"/>
    <row r="642" s="2" customFormat="1" ht="14.25" customHeight="1"/>
    <row r="643" s="2" customFormat="1" ht="14.25" customHeight="1"/>
    <row r="644" s="2" customFormat="1" ht="14.25" customHeight="1"/>
    <row r="645" s="2" customFormat="1" ht="14.25" customHeight="1"/>
    <row r="646" s="2" customFormat="1" ht="14.25" customHeight="1"/>
    <row r="647" s="2" customFormat="1" ht="14.25" customHeight="1"/>
    <row r="648" s="2" customFormat="1" ht="14.25" customHeight="1"/>
    <row r="649" s="2" customFormat="1" ht="14.25" customHeight="1"/>
    <row r="650" s="2" customFormat="1" ht="14.25" customHeight="1"/>
    <row r="651" s="2" customFormat="1" ht="14.25" customHeight="1"/>
    <row r="652" s="2" customFormat="1" ht="14.25" customHeight="1"/>
    <row r="653" s="2" customFormat="1" ht="14.25" customHeight="1"/>
    <row r="654" s="2" customFormat="1" ht="14.25" customHeight="1"/>
    <row r="655" s="2" customFormat="1" ht="14.25" customHeight="1"/>
    <row r="656" s="2" customFormat="1" ht="14.25" customHeight="1"/>
    <row r="657" s="2" customFormat="1" ht="14.25" customHeight="1"/>
    <row r="658" s="2" customFormat="1" ht="14.25" customHeight="1"/>
    <row r="659" s="2" customFormat="1" ht="14.25" customHeight="1"/>
    <row r="660" s="2" customFormat="1" ht="14.25" customHeight="1"/>
    <row r="661" s="2" customFormat="1" ht="14.25" customHeight="1"/>
    <row r="662" s="2" customFormat="1" ht="14.25" customHeight="1"/>
    <row r="663" s="2" customFormat="1" ht="14.25" customHeight="1"/>
    <row r="664" s="2" customFormat="1" ht="14.25" customHeight="1"/>
    <row r="665" s="2" customFormat="1" ht="14.25" customHeight="1"/>
    <row r="666" s="2" customFormat="1" ht="14.25" customHeight="1"/>
    <row r="667" s="2" customFormat="1" ht="14.25" customHeight="1"/>
    <row r="668" s="2" customFormat="1" ht="14.25" customHeight="1"/>
    <row r="669" s="2" customFormat="1" ht="14.25" customHeight="1"/>
    <row r="670" s="2" customFormat="1" ht="14.25" customHeight="1"/>
    <row r="671" s="2" customFormat="1" ht="14.25" customHeight="1"/>
    <row r="672" s="2" customFormat="1" ht="14.25" customHeight="1"/>
    <row r="673" s="2" customFormat="1" ht="14.25" customHeight="1"/>
    <row r="674" s="2" customFormat="1" ht="14.25" customHeight="1"/>
    <row r="675" s="2" customFormat="1" ht="14.25" customHeight="1"/>
    <row r="676" s="2" customFormat="1" ht="14.25" customHeight="1"/>
    <row r="677" s="2" customFormat="1" ht="14.25" customHeight="1"/>
    <row r="678" s="2" customFormat="1" ht="14.25" customHeight="1"/>
    <row r="679" s="2" customFormat="1" ht="14.25" customHeight="1"/>
    <row r="680" s="2" customFormat="1" ht="14.25" customHeight="1"/>
    <row r="681" s="2" customFormat="1" ht="14.25" customHeight="1"/>
    <row r="682" s="2" customFormat="1" ht="14.25" customHeight="1"/>
    <row r="683" s="2" customFormat="1" ht="14.25" customHeight="1"/>
    <row r="684" s="2" customFormat="1" ht="14.25" customHeight="1"/>
    <row r="685" s="2" customFormat="1" ht="14.25" customHeight="1"/>
    <row r="686" s="2" customFormat="1" ht="14.25" customHeight="1"/>
    <row r="687" s="2" customFormat="1" ht="14.25" customHeight="1"/>
    <row r="688" s="2" customFormat="1" ht="14.25" customHeight="1"/>
    <row r="689" s="2" customFormat="1" ht="14.25" customHeight="1"/>
    <row r="690" s="2" customFormat="1" ht="14.25" customHeight="1"/>
    <row r="691" s="2" customFormat="1" ht="14.25" customHeight="1"/>
    <row r="692" s="2" customFormat="1" ht="14.25" customHeight="1"/>
    <row r="693" s="2" customFormat="1" ht="14.25" customHeight="1"/>
    <row r="694" s="2" customFormat="1" ht="14.25" customHeight="1"/>
    <row r="695" s="2" customFormat="1" ht="14.25" customHeight="1"/>
    <row r="696" s="2" customFormat="1" ht="14.25" customHeight="1"/>
    <row r="697" s="2" customFormat="1" ht="14.25" customHeight="1"/>
    <row r="698" s="2" customFormat="1" ht="14.25" customHeight="1"/>
    <row r="699" s="2" customFormat="1" ht="14.25" customHeight="1"/>
    <row r="700" s="2" customFormat="1" ht="14.25" customHeight="1"/>
    <row r="701" s="2" customFormat="1" ht="14.25" customHeight="1"/>
    <row r="702" s="2" customFormat="1" ht="14.25" customHeight="1"/>
    <row r="703" s="2" customFormat="1" ht="14.25" customHeight="1"/>
    <row r="704" s="2" customFormat="1" ht="14.25" customHeight="1"/>
    <row r="705" s="2" customFormat="1" ht="14.25" customHeight="1"/>
    <row r="706" s="2" customFormat="1" ht="14.25" customHeight="1"/>
    <row r="707" s="2" customFormat="1" ht="14.25" customHeight="1"/>
    <row r="708" s="2" customFormat="1" ht="14.25" customHeight="1"/>
    <row r="709" s="2" customFormat="1" ht="14.25" customHeight="1"/>
    <row r="710" s="2" customFormat="1" ht="14.25" customHeight="1"/>
    <row r="711" s="2" customFormat="1" ht="14.25" customHeight="1"/>
    <row r="712" s="2" customFormat="1" ht="14.25" customHeight="1"/>
    <row r="713" s="2" customFormat="1" ht="14.25" customHeight="1"/>
    <row r="714" s="2" customFormat="1" ht="14.25" customHeight="1"/>
    <row r="715" s="2" customFormat="1" ht="14.25" customHeight="1"/>
    <row r="716" s="2" customFormat="1" ht="14.25" customHeight="1"/>
    <row r="717" s="2" customFormat="1" ht="14.25" customHeight="1"/>
    <row r="718" s="2" customFormat="1" ht="14.25" customHeight="1"/>
    <row r="719" s="2" customFormat="1" ht="14.25" customHeight="1"/>
    <row r="720" s="2" customFormat="1" ht="14.25" customHeight="1"/>
    <row r="721" s="2" customFormat="1" ht="14.25" customHeight="1"/>
    <row r="722" s="2" customFormat="1" ht="14.25" customHeight="1"/>
    <row r="723" s="2" customFormat="1" ht="14.25" customHeight="1"/>
    <row r="724" s="2" customFormat="1" ht="14.25" customHeight="1"/>
    <row r="725" s="2" customFormat="1" ht="14.25" customHeight="1"/>
    <row r="726" s="2" customFormat="1" ht="14.25" customHeight="1"/>
    <row r="727" s="2" customFormat="1" ht="14.25" customHeight="1"/>
    <row r="728" s="2" customFormat="1" ht="14.25" customHeight="1"/>
    <row r="729" s="2" customFormat="1" ht="14.25" customHeight="1"/>
    <row r="730" s="2" customFormat="1" ht="14.25" customHeight="1"/>
    <row r="731" s="2" customFormat="1" ht="14.25" customHeight="1"/>
    <row r="732" s="2" customFormat="1" ht="14.25" customHeight="1"/>
    <row r="733" s="2" customFormat="1" ht="14.25" customHeight="1"/>
    <row r="734" s="2" customFormat="1" ht="14.25" customHeight="1"/>
    <row r="735" s="2" customFormat="1" ht="14.25" customHeight="1"/>
    <row r="736" s="2" customFormat="1" ht="14.25" customHeight="1"/>
    <row r="737" s="2" customFormat="1" ht="14.25" customHeight="1"/>
    <row r="738" s="2" customFormat="1" ht="14.25" customHeight="1"/>
    <row r="739" s="2" customFormat="1" ht="14.25" customHeight="1"/>
    <row r="740" s="2" customFormat="1" ht="14.25" customHeight="1"/>
    <row r="741" s="2" customFormat="1" ht="14.25" customHeight="1"/>
    <row r="742" s="2" customFormat="1" ht="14.25" customHeight="1"/>
    <row r="743" s="2" customFormat="1" ht="14.25" customHeight="1"/>
    <row r="744" s="2" customFormat="1" ht="14.25" customHeight="1"/>
    <row r="745" s="2" customFormat="1" ht="14.25" customHeight="1"/>
    <row r="746" s="2" customFormat="1" ht="14.25" customHeight="1"/>
    <row r="747" s="2" customFormat="1" ht="14.25" customHeight="1"/>
    <row r="748" s="2" customFormat="1" ht="14.25" customHeight="1"/>
    <row r="749" s="2" customFormat="1" ht="14.25" customHeight="1"/>
    <row r="750" s="2" customFormat="1" ht="14.25" customHeight="1"/>
    <row r="751" s="2" customFormat="1" ht="14.25" customHeight="1"/>
    <row r="752" s="2" customFormat="1" ht="14.25" customHeight="1"/>
    <row r="753" s="2" customFormat="1" ht="14.25" customHeight="1"/>
    <row r="754" s="2" customFormat="1" ht="14.25" customHeight="1"/>
    <row r="755" s="2" customFormat="1" ht="14.25" customHeight="1"/>
    <row r="756" s="2" customFormat="1" ht="14.25" customHeight="1"/>
    <row r="757" s="2" customFormat="1" ht="14.25" customHeight="1"/>
    <row r="758" s="2" customFormat="1" ht="14.25" customHeight="1"/>
    <row r="759" s="2" customFormat="1" ht="14.25" customHeight="1"/>
    <row r="760" s="2" customFormat="1" ht="14.25" customHeight="1"/>
    <row r="761" s="2" customFormat="1" ht="14.25" customHeight="1"/>
    <row r="762" s="2" customFormat="1" ht="14.25" customHeight="1"/>
    <row r="763" s="2" customFormat="1" ht="14.25" customHeight="1"/>
    <row r="764" s="2" customFormat="1" ht="14.25" customHeight="1"/>
    <row r="765" s="2" customFormat="1" ht="14.25" customHeight="1"/>
    <row r="766" s="2" customFormat="1" ht="14.25" customHeight="1"/>
    <row r="767" s="2" customFormat="1" ht="14.25" customHeight="1"/>
    <row r="768" s="2" customFormat="1" ht="14.25" customHeight="1"/>
    <row r="769" s="2" customFormat="1" ht="14.25" customHeight="1"/>
    <row r="770" s="2" customFormat="1" ht="14.25" customHeight="1"/>
    <row r="771" s="2" customFormat="1" ht="14.25" customHeight="1"/>
    <row r="772" s="2" customFormat="1" ht="14.25" customHeight="1"/>
    <row r="773" s="2" customFormat="1" ht="14.25" customHeight="1"/>
    <row r="774" s="2" customFormat="1" ht="14.25" customHeight="1"/>
    <row r="775" s="2" customFormat="1" ht="14.25" customHeight="1"/>
    <row r="776" s="2" customFormat="1" ht="14.25" customHeight="1"/>
    <row r="777" s="2" customFormat="1" ht="14.25" customHeight="1"/>
    <row r="778" s="2" customFormat="1" ht="14.25" customHeight="1"/>
    <row r="779" s="2" customFormat="1" ht="14.25" customHeight="1"/>
    <row r="780" s="2" customFormat="1" ht="14.25" customHeight="1"/>
    <row r="781" s="2" customFormat="1" ht="14.25" customHeight="1"/>
    <row r="782" s="2" customFormat="1" ht="14.25" customHeight="1"/>
    <row r="783" s="2" customFormat="1" ht="14.25" customHeight="1"/>
    <row r="784" s="2" customFormat="1" ht="14.25" customHeight="1"/>
    <row r="785" s="2" customFormat="1" ht="14.25" customHeight="1"/>
    <row r="786" s="2" customFormat="1" ht="14.25" customHeight="1"/>
    <row r="787" s="2" customFormat="1" ht="14.25" customHeight="1"/>
    <row r="788" s="2" customFormat="1" ht="14.25" customHeight="1"/>
    <row r="789" s="2" customFormat="1" ht="14.25" customHeight="1"/>
    <row r="790" s="2" customFormat="1" ht="14.25" customHeight="1"/>
    <row r="791" s="2" customFormat="1" ht="14.25" customHeight="1"/>
    <row r="792" s="2" customFormat="1" ht="14.25" customHeight="1"/>
    <row r="793" s="2" customFormat="1" ht="14.25" customHeight="1"/>
    <row r="794" s="2" customFormat="1" ht="14.25" customHeight="1"/>
    <row r="795" s="2" customFormat="1" ht="14.25" customHeight="1"/>
    <row r="796" s="2" customFormat="1" ht="14.25" customHeight="1"/>
    <row r="797" s="2" customFormat="1" ht="14.25" customHeight="1"/>
    <row r="798" s="2" customFormat="1" ht="14.25" customHeight="1"/>
    <row r="799" s="2" customFormat="1" ht="14.25" customHeight="1"/>
    <row r="800" s="2" customFormat="1" ht="14.25" customHeight="1"/>
    <row r="801" s="2" customFormat="1" ht="14.25" customHeight="1"/>
    <row r="802" s="2" customFormat="1" ht="14.25" customHeight="1"/>
    <row r="803" s="2" customFormat="1" ht="14.25" customHeight="1"/>
    <row r="804" s="2" customFormat="1" ht="14.25" customHeight="1"/>
    <row r="805" s="2" customFormat="1" ht="14.25" customHeight="1"/>
    <row r="806" s="2" customFormat="1" ht="14.25" customHeight="1"/>
    <row r="807" s="2" customFormat="1" ht="14.25" customHeight="1"/>
    <row r="808" s="2" customFormat="1" ht="14.25" customHeight="1"/>
    <row r="809" s="2" customFormat="1" ht="14.25" customHeight="1"/>
    <row r="810" s="2" customFormat="1" ht="14.25" customHeight="1"/>
    <row r="811" s="2" customFormat="1" ht="14.25" customHeight="1"/>
    <row r="812" s="2" customFormat="1" ht="14.25" customHeight="1"/>
    <row r="813" s="2" customFormat="1" ht="14.25" customHeight="1"/>
    <row r="814" s="2" customFormat="1" ht="14.25" customHeight="1"/>
    <row r="815" s="2" customFormat="1" ht="14.25" customHeight="1"/>
    <row r="816" s="2" customFormat="1" ht="14.25" customHeight="1"/>
    <row r="817" s="2" customFormat="1" ht="14.25" customHeight="1"/>
    <row r="818" s="2" customFormat="1" ht="14.25" customHeight="1"/>
    <row r="819" s="2" customFormat="1" ht="14.25" customHeight="1"/>
    <row r="820" s="2" customFormat="1" ht="14.25" customHeight="1"/>
    <row r="821" s="2" customFormat="1" ht="14.25" customHeight="1"/>
    <row r="822" s="2" customFormat="1" ht="14.25" customHeight="1"/>
    <row r="823" s="2" customFormat="1" ht="14.25" customHeight="1"/>
    <row r="824" s="2" customFormat="1" ht="14.25" customHeight="1"/>
    <row r="825" s="2" customFormat="1" ht="14.25" customHeight="1"/>
    <row r="826" s="2" customFormat="1" ht="14.25" customHeight="1"/>
    <row r="827" s="2" customFormat="1" ht="14.25" customHeight="1"/>
    <row r="828" s="2" customFormat="1" ht="14.25" customHeight="1"/>
    <row r="829" s="2" customFormat="1" ht="14.25" customHeight="1"/>
    <row r="830" s="2" customFormat="1" ht="14.25" customHeight="1"/>
    <row r="831" s="2" customFormat="1" ht="14.25" customHeight="1"/>
    <row r="832" s="2" customFormat="1" ht="14.25" customHeight="1"/>
    <row r="833" s="2" customFormat="1" ht="14.25" customHeight="1"/>
    <row r="834" s="2" customFormat="1" ht="14.25" customHeight="1"/>
    <row r="835" s="2" customFormat="1" ht="14.25" customHeight="1"/>
    <row r="836" s="2" customFormat="1" ht="14.25" customHeight="1"/>
    <row r="837" s="2" customFormat="1" ht="14.25" customHeight="1"/>
    <row r="838" s="2" customFormat="1" ht="14.25" customHeight="1"/>
    <row r="839" s="2" customFormat="1" ht="14.25" customHeight="1"/>
    <row r="840" s="2" customFormat="1" ht="14.25" customHeight="1"/>
    <row r="841" s="2" customFormat="1" ht="14.25" customHeight="1"/>
    <row r="842" s="2" customFormat="1" ht="14.25" customHeight="1"/>
    <row r="843" s="2" customFormat="1" ht="14.25" customHeight="1"/>
    <row r="844" s="2" customFormat="1" ht="14.25" customHeight="1"/>
    <row r="845" s="2" customFormat="1" ht="14.25" customHeight="1"/>
    <row r="846" s="2" customFormat="1" ht="14.25" customHeight="1"/>
    <row r="847" s="2" customFormat="1" ht="14.25" customHeight="1"/>
    <row r="848" s="2" customFormat="1" ht="14.25" customHeight="1"/>
    <row r="849" s="2" customFormat="1" ht="14.25" customHeight="1"/>
    <row r="850" s="2" customFormat="1" ht="14.25" customHeight="1"/>
    <row r="851" s="2" customFormat="1" ht="14.25" customHeight="1"/>
    <row r="852" s="2" customFormat="1" ht="14.25" customHeight="1"/>
    <row r="853" s="2" customFormat="1" ht="14.25" customHeight="1"/>
    <row r="854" s="2" customFormat="1" ht="14.25" customHeight="1"/>
    <row r="855" s="2" customFormat="1" ht="14.25" customHeight="1"/>
    <row r="856" s="2" customFormat="1" ht="14.25" customHeight="1"/>
    <row r="857" s="2" customFormat="1" ht="14.25" customHeight="1"/>
    <row r="858" s="2" customFormat="1" ht="14.25" customHeight="1"/>
    <row r="859" s="2" customFormat="1" ht="14.25" customHeight="1"/>
    <row r="860" s="2" customFormat="1" ht="14.25" customHeight="1"/>
    <row r="861" s="2" customFormat="1" ht="14.25" customHeight="1"/>
    <row r="862" s="2" customFormat="1" ht="14.25" customHeight="1"/>
    <row r="863" s="2" customFormat="1" ht="14.25" customHeight="1"/>
    <row r="864" s="2" customFormat="1" ht="14.25" customHeight="1"/>
    <row r="865" s="2" customFormat="1" ht="14.25" customHeight="1"/>
    <row r="866" s="2" customFormat="1" ht="14.25" customHeight="1"/>
    <row r="867" s="2" customFormat="1" ht="14.25" customHeight="1"/>
    <row r="868" s="2" customFormat="1" ht="14.25" customHeight="1"/>
    <row r="869" s="2" customFormat="1" ht="14.25" customHeight="1"/>
    <row r="870" s="2" customFormat="1" ht="14.25" customHeight="1"/>
    <row r="871" s="2" customFormat="1" ht="14.25" customHeight="1"/>
    <row r="872" s="2" customFormat="1" ht="14.25" customHeight="1"/>
    <row r="873" s="2" customFormat="1" ht="14.25" customHeight="1"/>
    <row r="874" s="2" customFormat="1" ht="14.25" customHeight="1"/>
    <row r="875" s="2" customFormat="1" ht="14.25" customHeight="1"/>
    <row r="876" s="2" customFormat="1" ht="14.25" customHeight="1"/>
    <row r="877" s="2" customFormat="1" ht="14.25" customHeight="1"/>
    <row r="878" s="2" customFormat="1" ht="14.25" customHeight="1"/>
    <row r="879" s="2" customFormat="1" ht="14.25" customHeight="1"/>
    <row r="880" s="2" customFormat="1" ht="14.25" customHeight="1"/>
    <row r="881" s="2" customFormat="1" ht="14.25" customHeight="1"/>
    <row r="882" s="2" customFormat="1" ht="14.25" customHeight="1"/>
    <row r="883" s="2" customFormat="1" ht="14.25" customHeight="1"/>
    <row r="884" s="2" customFormat="1" ht="14.25" customHeight="1"/>
    <row r="885" s="2" customFormat="1" ht="14.25" customHeight="1"/>
    <row r="886" s="2" customFormat="1" ht="14.25" customHeight="1"/>
    <row r="887" s="2" customFormat="1" ht="14.25" customHeight="1"/>
    <row r="888" s="2" customFormat="1" ht="14.25" customHeight="1"/>
    <row r="889" s="2" customFormat="1" ht="14.25" customHeight="1"/>
    <row r="890" s="2" customFormat="1" ht="14.25" customHeight="1"/>
    <row r="891" s="2" customFormat="1" ht="14.25" customHeight="1"/>
    <row r="892" s="2" customFormat="1" ht="14.25" customHeight="1"/>
    <row r="893" s="2" customFormat="1" ht="14.25" customHeight="1"/>
    <row r="894" s="2" customFormat="1" ht="14.25" customHeight="1"/>
    <row r="895" s="2" customFormat="1" ht="14.25" customHeight="1"/>
    <row r="896" s="2" customFormat="1" ht="14.25" customHeight="1"/>
    <row r="897" s="2" customFormat="1" ht="14.25" customHeight="1"/>
    <row r="898" s="2" customFormat="1" ht="14.25" customHeight="1"/>
    <row r="899" s="2" customFormat="1" ht="14.25" customHeight="1"/>
    <row r="900" s="2" customFormat="1" ht="14.25" customHeight="1"/>
    <row r="901" s="2" customFormat="1" ht="14.25" customHeight="1"/>
    <row r="902" s="2" customFormat="1" ht="14.25" customHeight="1"/>
    <row r="903" s="2" customFormat="1" ht="14.25" customHeight="1"/>
    <row r="904" s="2" customFormat="1" ht="14.25" customHeight="1"/>
    <row r="905" s="2" customFormat="1" ht="14.25" customHeight="1"/>
    <row r="906" s="2" customFormat="1" ht="14.25" customHeight="1"/>
    <row r="907" s="2" customFormat="1" ht="14.25" customHeight="1"/>
    <row r="908" s="2" customFormat="1" ht="14.25" customHeight="1"/>
    <row r="909" s="2" customFormat="1" ht="14.25" customHeight="1"/>
    <row r="910" s="2" customFormat="1" ht="14.25" customHeight="1"/>
    <row r="911" s="2" customFormat="1" ht="14.25" customHeight="1"/>
    <row r="912" s="2" customFormat="1" ht="14.25" customHeight="1"/>
    <row r="913" s="2" customFormat="1" ht="14.25" customHeight="1"/>
    <row r="914" s="2" customFormat="1" ht="14.25" customHeight="1"/>
    <row r="915" s="2" customFormat="1" ht="14.25" customHeight="1"/>
    <row r="916" s="2" customFormat="1" ht="14.25" customHeight="1"/>
    <row r="917" s="2" customFormat="1" ht="14.25" customHeight="1"/>
    <row r="918" s="2" customFormat="1" ht="14.25" customHeight="1"/>
    <row r="919" s="2" customFormat="1" ht="14.25" customHeight="1"/>
    <row r="920" s="2" customFormat="1" ht="14.25" customHeight="1"/>
    <row r="921" s="2" customFormat="1" ht="14.25" customHeight="1"/>
    <row r="922" s="2" customFormat="1" ht="14.25" customHeight="1"/>
    <row r="923" s="2" customFormat="1" ht="14.25" customHeight="1"/>
    <row r="924" s="2" customFormat="1" ht="14.25" customHeight="1"/>
    <row r="925" s="2" customFormat="1" ht="14.25" customHeight="1"/>
    <row r="926" s="2" customFormat="1" ht="14.25" customHeight="1"/>
    <row r="927" s="2" customFormat="1" ht="14.25" customHeight="1"/>
    <row r="928" s="2" customFormat="1" ht="14.25" customHeight="1"/>
    <row r="929" s="2" customFormat="1" ht="14.25" customHeight="1"/>
    <row r="930" s="2" customFormat="1" ht="14.25" customHeight="1"/>
    <row r="931" s="2" customFormat="1" ht="14.25" customHeight="1"/>
    <row r="932" s="2" customFormat="1" ht="14.25" customHeight="1"/>
    <row r="933" s="2" customFormat="1" ht="14.25" customHeight="1"/>
    <row r="934" s="2" customFormat="1" ht="14.25" customHeight="1"/>
    <row r="935" s="2" customFormat="1" ht="14.25" customHeight="1"/>
    <row r="936" s="2" customFormat="1" ht="14.25" customHeight="1"/>
    <row r="937" s="2" customFormat="1" ht="14.25" customHeight="1"/>
    <row r="938" s="2" customFormat="1" ht="14.25" customHeight="1"/>
    <row r="939" s="2" customFormat="1" ht="14.25" customHeight="1"/>
    <row r="940" s="2" customFormat="1" ht="14.25" customHeight="1"/>
    <row r="941" s="2" customFormat="1" ht="14.25" customHeight="1"/>
    <row r="942" s="2" customFormat="1" ht="14.25" customHeight="1"/>
    <row r="943" s="2" customFormat="1" ht="14.25" customHeight="1"/>
    <row r="944" s="2" customFormat="1" ht="14.25" customHeight="1"/>
    <row r="945" s="2" customFormat="1" ht="14.25" customHeight="1"/>
    <row r="946" s="2" customFormat="1" ht="14.25" customHeight="1"/>
    <row r="947" s="2" customFormat="1" ht="14.25" customHeight="1"/>
    <row r="948" s="2" customFormat="1" ht="14.25" customHeight="1"/>
    <row r="949" s="2" customFormat="1" ht="14.25" customHeight="1"/>
    <row r="950" s="2" customFormat="1" ht="14.25" customHeight="1"/>
    <row r="951" s="2" customFormat="1" ht="14.25" customHeight="1"/>
    <row r="952" s="2" customFormat="1" ht="14.25" customHeight="1"/>
    <row r="953" s="2" customFormat="1" ht="14.25" customHeight="1"/>
    <row r="954" s="2" customFormat="1" ht="14.25" customHeight="1"/>
    <row r="955" s="2" customFormat="1" ht="14.25" customHeight="1"/>
    <row r="956" s="2" customFormat="1" ht="14.25" customHeight="1"/>
    <row r="957" s="2" customFormat="1" ht="14.25" customHeight="1"/>
    <row r="958" s="2" customFormat="1" ht="14.25" customHeight="1"/>
    <row r="959" s="2" customFormat="1" ht="14.25" customHeight="1"/>
    <row r="960" s="2" customFormat="1" ht="14.25" customHeight="1"/>
    <row r="961" s="2" customFormat="1" ht="14.25" customHeight="1"/>
    <row r="962" s="2" customFormat="1" ht="14.25" customHeight="1"/>
    <row r="963" s="2" customFormat="1" ht="14.25" customHeight="1"/>
    <row r="964" s="2" customFormat="1" ht="14.25" customHeight="1"/>
    <row r="965" s="2" customFormat="1" ht="14.25" customHeight="1"/>
    <row r="966" s="2" customFormat="1" ht="14.25" customHeight="1"/>
    <row r="967" s="2" customFormat="1" ht="14.25" customHeight="1"/>
    <row r="968" s="2" customFormat="1" ht="14.25" customHeight="1"/>
    <row r="969" s="2" customFormat="1" ht="14.25" customHeight="1"/>
    <row r="970" s="2" customFormat="1" ht="14.25" customHeight="1"/>
    <row r="971" s="2" customFormat="1" ht="14.25" customHeight="1"/>
    <row r="972" s="2" customFormat="1" ht="14.25" customHeight="1"/>
    <row r="973" s="2" customFormat="1" ht="14.25" customHeight="1"/>
    <row r="974" s="2" customFormat="1" ht="14.25" customHeight="1"/>
    <row r="975" s="2" customFormat="1" ht="14.25" customHeight="1"/>
    <row r="976" s="2" customFormat="1" ht="14.25" customHeight="1"/>
    <row r="977" s="2" customFormat="1" ht="14.25" customHeight="1"/>
    <row r="978" s="2" customFormat="1" ht="14.25" customHeight="1"/>
    <row r="979" s="2" customFormat="1" ht="14.25" customHeight="1"/>
    <row r="980" s="2" customFormat="1" ht="14.25" customHeight="1"/>
    <row r="981" s="2" customFormat="1" ht="14.25" customHeight="1"/>
    <row r="982" s="2" customFormat="1" ht="14.25" customHeight="1"/>
    <row r="983" s="2" customFormat="1" ht="14.25" customHeight="1"/>
    <row r="984" s="2" customFormat="1" ht="14.25" customHeight="1"/>
    <row r="985" s="2" customFormat="1" ht="14.25" customHeight="1"/>
    <row r="986" s="2" customFormat="1" ht="14.25" customHeight="1"/>
    <row r="987" s="2" customFormat="1" ht="14.25" customHeight="1"/>
    <row r="988" s="2" customFormat="1" ht="14.25" customHeight="1"/>
    <row r="989" s="2" customFormat="1" ht="14.25" customHeight="1"/>
    <row r="990" s="2" customFormat="1" ht="14.25" customHeight="1"/>
    <row r="991" s="2" customFormat="1" ht="14.25" customHeight="1"/>
    <row r="992" s="2" customFormat="1" ht="14.25" customHeight="1"/>
    <row r="993" s="2" customFormat="1" ht="14.25" customHeight="1"/>
    <row r="994" s="2" customFormat="1" ht="14.25" customHeight="1"/>
    <row r="995" s="2" customFormat="1" ht="14.25" customHeight="1"/>
    <row r="996" s="2" customFormat="1" ht="14.25" customHeight="1"/>
    <row r="997" s="2" customFormat="1" ht="14.25" customHeight="1"/>
    <row r="998" s="2" customFormat="1" ht="14.25" customHeight="1"/>
    <row r="999" s="2" customFormat="1" ht="14.25" customHeight="1"/>
    <row r="1000" s="2" customFormat="1" ht="14.25" customHeight="1"/>
    <row r="1001" s="2" customFormat="1" ht="14.25" customHeight="1"/>
    <row r="1002" s="2" customFormat="1" ht="14.25" customHeight="1"/>
    <row r="1003" s="2" customFormat="1" ht="14.25" customHeight="1"/>
    <row r="1004" s="2" customFormat="1"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32741-7BD7-4F66-9D98-F50A76499F5E}">
  <dimension ref="A1"/>
  <sheetViews>
    <sheetView workbookViewId="0">
      <selection activeCell="E10" sqref="E10:F75"/>
    </sheetView>
  </sheetViews>
  <sheetFormatPr defaultRowHeight="15"/>
  <cols>
    <col min="5" max="5" width="45" bestFit="1" customWidth="1"/>
    <col min="6" max="6" width="26.425781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7"/>
  <sheetViews>
    <sheetView tabSelected="1" topLeftCell="B1" zoomScale="130" zoomScaleNormal="130" workbookViewId="0">
      <selection activeCell="J29" sqref="J29"/>
    </sheetView>
  </sheetViews>
  <sheetFormatPr defaultColWidth="12.7109375" defaultRowHeight="15" customHeight="1"/>
  <cols>
    <col min="1" max="1" width="37.42578125" style="2" bestFit="1" customWidth="1"/>
    <col min="2" max="2" width="14.28515625" style="2" bestFit="1" customWidth="1"/>
    <col min="3" max="3" width="8.85546875" style="2" customWidth="1"/>
    <col min="4" max="4" width="40.140625" style="2" bestFit="1" customWidth="1"/>
    <col min="5" max="5" width="14.28515625" style="2" bestFit="1" customWidth="1"/>
    <col min="6" max="6" width="8.7109375" style="2" customWidth="1"/>
    <col min="7" max="7" width="8.140625" style="2" bestFit="1" customWidth="1"/>
    <col min="8" max="8" width="12.140625" style="2" bestFit="1" customWidth="1"/>
    <col min="9" max="9" width="6.28515625" style="2" bestFit="1" customWidth="1"/>
    <col min="10" max="10" width="7.85546875" style="2" bestFit="1" customWidth="1"/>
    <col min="11" max="11" width="6" style="2" bestFit="1" customWidth="1"/>
    <col min="12" max="12" width="7.28515625" style="2" bestFit="1" customWidth="1"/>
    <col min="13" max="13" width="46.7109375" style="2" bestFit="1" customWidth="1"/>
    <col min="14" max="14" width="26.42578125" style="2" bestFit="1" customWidth="1"/>
    <col min="15" max="16" width="13.85546875" style="2" customWidth="1"/>
    <col min="17" max="17" width="11.85546875" style="2" customWidth="1"/>
    <col min="18" max="26" width="8.7109375" style="2" customWidth="1"/>
    <col min="27" max="16384" width="12.7109375" style="2"/>
  </cols>
  <sheetData>
    <row r="1" spans="1:18" ht="15" customHeight="1">
      <c r="A1" s="182" t="s">
        <v>207</v>
      </c>
    </row>
    <row r="2" spans="1:18" ht="15" customHeight="1">
      <c r="A2" s="1" t="s">
        <v>222</v>
      </c>
    </row>
    <row r="4" spans="1:18" ht="15" customHeight="1">
      <c r="A4" s="144" t="s">
        <v>58</v>
      </c>
      <c r="B4" s="145"/>
      <c r="D4" s="140" t="s">
        <v>256</v>
      </c>
      <c r="E4" s="133"/>
      <c r="F4" s="11"/>
      <c r="G4" s="140" t="s">
        <v>220</v>
      </c>
      <c r="H4" s="133"/>
      <c r="I4" s="11"/>
      <c r="J4" s="144" t="s">
        <v>303</v>
      </c>
      <c r="K4" s="144" t="s">
        <v>59</v>
      </c>
      <c r="L4" s="11"/>
      <c r="M4" s="144" t="s">
        <v>1</v>
      </c>
      <c r="N4" s="145"/>
      <c r="O4" s="11"/>
      <c r="R4" s="11"/>
    </row>
    <row r="5" spans="1:18">
      <c r="A5" s="119" t="s">
        <v>155</v>
      </c>
      <c r="B5" s="141">
        <v>1</v>
      </c>
      <c r="C5" s="11"/>
      <c r="D5" s="155" t="s">
        <v>282</v>
      </c>
      <c r="E5" s="28"/>
      <c r="F5" s="11"/>
      <c r="G5" s="128" t="s">
        <v>0</v>
      </c>
      <c r="H5" s="128" t="s">
        <v>221</v>
      </c>
      <c r="I5" s="11"/>
      <c r="J5" s="23" t="s">
        <v>60</v>
      </c>
      <c r="K5" s="166">
        <v>31</v>
      </c>
      <c r="L5" s="11"/>
      <c r="M5" s="119" t="s">
        <v>4</v>
      </c>
      <c r="N5" s="28"/>
      <c r="O5" s="11"/>
      <c r="R5" s="11"/>
    </row>
    <row r="6" spans="1:18">
      <c r="A6" s="29" t="s">
        <v>156</v>
      </c>
      <c r="B6" s="67">
        <f>SUM(K5:K16)</f>
        <v>365.25</v>
      </c>
      <c r="C6" s="11"/>
      <c r="D6" s="29" t="s">
        <v>286</v>
      </c>
      <c r="E6" s="261">
        <v>0</v>
      </c>
      <c r="F6" s="11"/>
      <c r="G6" s="23">
        <v>1</v>
      </c>
      <c r="H6" s="159"/>
      <c r="I6" s="11"/>
      <c r="J6" s="235" t="s">
        <v>61</v>
      </c>
      <c r="K6" s="236">
        <v>28.25</v>
      </c>
      <c r="L6" s="11"/>
      <c r="M6" s="167" t="s">
        <v>284</v>
      </c>
      <c r="N6" s="33"/>
      <c r="O6" s="11"/>
      <c r="R6" s="11"/>
    </row>
    <row r="7" spans="1:18">
      <c r="A7" s="29" t="s">
        <v>157</v>
      </c>
      <c r="B7" s="67">
        <v>52</v>
      </c>
      <c r="C7" s="11"/>
      <c r="D7" s="29"/>
      <c r="E7" s="259"/>
      <c r="F7" s="11"/>
      <c r="G7" s="129">
        <v>2</v>
      </c>
      <c r="H7" s="129">
        <f t="shared" ref="H7:H36" si="0">ROUNDUP(Quantity_demand_Y2*(Increment+Gas_demand_rate)^(G7-$B$11)/Capacity_per_trip,0)</f>
        <v>109</v>
      </c>
      <c r="I7" s="11"/>
      <c r="J7" s="23" t="s">
        <v>62</v>
      </c>
      <c r="K7" s="166">
        <v>31</v>
      </c>
      <c r="L7" s="11"/>
      <c r="M7" s="49" t="s">
        <v>6</v>
      </c>
      <c r="N7" s="33"/>
      <c r="O7" s="11"/>
      <c r="R7" s="11"/>
    </row>
    <row r="8" spans="1:18">
      <c r="A8" s="29" t="s">
        <v>158</v>
      </c>
      <c r="B8" s="67">
        <v>12</v>
      </c>
      <c r="D8" s="123" t="s">
        <v>257</v>
      </c>
      <c r="E8" s="259"/>
      <c r="F8" s="11"/>
      <c r="G8" s="129">
        <v>3</v>
      </c>
      <c r="H8" s="129">
        <f t="shared" si="0"/>
        <v>110</v>
      </c>
      <c r="I8" s="11"/>
      <c r="J8" s="23" t="s">
        <v>63</v>
      </c>
      <c r="K8" s="166">
        <v>30</v>
      </c>
      <c r="L8" s="11"/>
      <c r="M8" s="51" t="s">
        <v>224</v>
      </c>
      <c r="N8" s="33"/>
      <c r="O8" s="11"/>
      <c r="R8" s="11"/>
    </row>
    <row r="9" spans="1:18">
      <c r="A9" s="29" t="s">
        <v>64</v>
      </c>
      <c r="B9" s="67">
        <v>1</v>
      </c>
      <c r="D9" s="29" t="s">
        <v>263</v>
      </c>
      <c r="E9" s="262">
        <v>0</v>
      </c>
      <c r="F9" s="11"/>
      <c r="G9" s="129">
        <v>4</v>
      </c>
      <c r="H9" s="129">
        <f t="shared" si="0"/>
        <v>111</v>
      </c>
      <c r="I9" s="11"/>
      <c r="J9" s="23" t="s">
        <v>65</v>
      </c>
      <c r="K9" s="166">
        <v>31</v>
      </c>
      <c r="L9" s="11"/>
      <c r="M9" s="252"/>
      <c r="N9" s="33" t="s">
        <v>225</v>
      </c>
      <c r="O9" s="11"/>
      <c r="R9" s="11"/>
    </row>
    <row r="10" spans="1:18">
      <c r="A10" s="29" t="s">
        <v>159</v>
      </c>
      <c r="B10" s="142">
        <f>11/12</f>
        <v>0.91666666666666663</v>
      </c>
      <c r="D10" s="29" t="s">
        <v>264</v>
      </c>
      <c r="E10" s="262">
        <v>0</v>
      </c>
      <c r="F10" s="11"/>
      <c r="G10" s="129">
        <v>5</v>
      </c>
      <c r="H10" s="129">
        <f t="shared" si="0"/>
        <v>111</v>
      </c>
      <c r="I10" s="11"/>
      <c r="J10" s="23" t="s">
        <v>66</v>
      </c>
      <c r="K10" s="166">
        <v>30</v>
      </c>
      <c r="L10" s="11"/>
      <c r="M10" s="158"/>
      <c r="N10" s="40"/>
      <c r="O10" s="11"/>
      <c r="R10" s="11"/>
    </row>
    <row r="11" spans="1:18">
      <c r="A11" s="29" t="s">
        <v>67</v>
      </c>
      <c r="B11" s="67">
        <v>2</v>
      </c>
      <c r="D11" s="29" t="s">
        <v>265</v>
      </c>
      <c r="E11" s="262">
        <v>0</v>
      </c>
      <c r="F11" s="11"/>
      <c r="G11" s="129">
        <v>6</v>
      </c>
      <c r="H11" s="129">
        <f t="shared" si="0"/>
        <v>112</v>
      </c>
      <c r="I11" s="11"/>
      <c r="J11" s="23" t="s">
        <v>68</v>
      </c>
      <c r="K11" s="166">
        <v>31</v>
      </c>
      <c r="L11" s="11"/>
      <c r="M11" s="11"/>
      <c r="N11" s="11"/>
      <c r="O11" s="11"/>
      <c r="P11" s="11"/>
      <c r="Q11" s="11"/>
    </row>
    <row r="12" spans="1:18">
      <c r="A12" s="34" t="s">
        <v>69</v>
      </c>
      <c r="B12" s="143">
        <v>6</v>
      </c>
      <c r="D12" s="29" t="s">
        <v>266</v>
      </c>
      <c r="E12" s="262">
        <v>0</v>
      </c>
      <c r="F12" s="11"/>
      <c r="G12" s="129">
        <v>7</v>
      </c>
      <c r="H12" s="129">
        <f t="shared" si="0"/>
        <v>112</v>
      </c>
      <c r="I12" s="11"/>
      <c r="J12" s="23" t="s">
        <v>70</v>
      </c>
      <c r="K12" s="166">
        <v>31</v>
      </c>
      <c r="L12" s="11"/>
    </row>
    <row r="13" spans="1:18">
      <c r="A13" s="11"/>
      <c r="B13" s="11"/>
      <c r="D13" s="29" t="s">
        <v>267</v>
      </c>
      <c r="E13" s="262">
        <v>0</v>
      </c>
      <c r="F13" s="11"/>
      <c r="G13" s="129">
        <v>8</v>
      </c>
      <c r="H13" s="129">
        <f t="shared" si="0"/>
        <v>113</v>
      </c>
      <c r="I13" s="11"/>
      <c r="J13" s="23" t="s">
        <v>71</v>
      </c>
      <c r="K13" s="166">
        <v>30</v>
      </c>
      <c r="L13" s="11"/>
      <c r="M13" s="144" t="s">
        <v>438</v>
      </c>
      <c r="N13" s="144" t="str">
        <f>_xlfn.CONCAT("Count: ",COUNTA(N14:N79))</f>
        <v>Count: 66</v>
      </c>
    </row>
    <row r="14" spans="1:18">
      <c r="A14" s="144" t="s">
        <v>255</v>
      </c>
      <c r="B14" s="145"/>
      <c r="C14" s="11"/>
      <c r="D14" s="29"/>
      <c r="E14" s="259"/>
      <c r="F14" s="11"/>
      <c r="G14" s="129">
        <v>9</v>
      </c>
      <c r="H14" s="129">
        <f t="shared" si="0"/>
        <v>113</v>
      </c>
      <c r="I14" s="11"/>
      <c r="J14" s="23" t="s">
        <v>72</v>
      </c>
      <c r="K14" s="166">
        <v>31</v>
      </c>
      <c r="L14" s="11"/>
      <c r="M14" s="268" t="s">
        <v>309</v>
      </c>
      <c r="N14" s="265" t="s">
        <v>310</v>
      </c>
    </row>
    <row r="15" spans="1:18">
      <c r="A15" s="119" t="s">
        <v>160</v>
      </c>
      <c r="B15" s="146">
        <v>260000</v>
      </c>
      <c r="C15" s="11"/>
      <c r="D15" s="123" t="s">
        <v>262</v>
      </c>
      <c r="E15" s="260"/>
      <c r="F15" s="11"/>
      <c r="G15" s="129">
        <v>10</v>
      </c>
      <c r="H15" s="129">
        <f t="shared" si="0"/>
        <v>114</v>
      </c>
      <c r="I15" s="11"/>
      <c r="J15" s="23" t="s">
        <v>73</v>
      </c>
      <c r="K15" s="166">
        <v>30</v>
      </c>
      <c r="L15" s="11"/>
      <c r="M15" s="269" t="s">
        <v>311</v>
      </c>
      <c r="N15" s="266" t="s">
        <v>312</v>
      </c>
    </row>
    <row r="16" spans="1:18">
      <c r="A16" s="29" t="s">
        <v>154</v>
      </c>
      <c r="B16" s="147">
        <v>30</v>
      </c>
      <c r="C16" s="11"/>
      <c r="D16" s="29" t="s">
        <v>268</v>
      </c>
      <c r="E16" s="262">
        <v>0</v>
      </c>
      <c r="F16" s="11"/>
      <c r="G16" s="129">
        <v>11</v>
      </c>
      <c r="H16" s="129">
        <f t="shared" si="0"/>
        <v>114</v>
      </c>
      <c r="I16" s="11"/>
      <c r="J16" s="23" t="s">
        <v>74</v>
      </c>
      <c r="K16" s="166">
        <v>31</v>
      </c>
      <c r="L16" s="11"/>
      <c r="M16" s="269" t="s">
        <v>313</v>
      </c>
      <c r="N16" s="266" t="s">
        <v>314</v>
      </c>
    </row>
    <row r="17" spans="1:14">
      <c r="A17" s="29" t="s">
        <v>75</v>
      </c>
      <c r="B17" s="148">
        <v>20000000</v>
      </c>
      <c r="C17" s="11"/>
      <c r="D17" s="29" t="s">
        <v>269</v>
      </c>
      <c r="E17" s="262">
        <v>0</v>
      </c>
      <c r="F17" s="11"/>
      <c r="G17" s="129">
        <v>12</v>
      </c>
      <c r="H17" s="129">
        <f t="shared" si="0"/>
        <v>115</v>
      </c>
      <c r="I17" s="11"/>
      <c r="L17" s="11"/>
      <c r="M17" s="269" t="s">
        <v>315</v>
      </c>
      <c r="N17" s="266" t="s">
        <v>316</v>
      </c>
    </row>
    <row r="18" spans="1:14">
      <c r="A18" s="29" t="s">
        <v>76</v>
      </c>
      <c r="B18" s="66">
        <v>250000000</v>
      </c>
      <c r="C18" s="11"/>
      <c r="D18" s="29" t="s">
        <v>270</v>
      </c>
      <c r="E18" s="262">
        <v>0</v>
      </c>
      <c r="F18" s="11"/>
      <c r="G18" s="129">
        <v>13</v>
      </c>
      <c r="H18" s="129">
        <f t="shared" si="0"/>
        <v>116</v>
      </c>
      <c r="I18" s="11"/>
      <c r="J18" s="11"/>
      <c r="K18" s="11"/>
      <c r="M18" s="269" t="s">
        <v>317</v>
      </c>
      <c r="N18" s="266" t="s">
        <v>318</v>
      </c>
    </row>
    <row r="19" spans="1:14">
      <c r="A19" s="29" t="s">
        <v>152</v>
      </c>
      <c r="B19" s="66">
        <v>10000000</v>
      </c>
      <c r="C19" s="11"/>
      <c r="D19" s="29"/>
      <c r="E19" s="259"/>
      <c r="F19" s="11"/>
      <c r="G19" s="129">
        <v>14</v>
      </c>
      <c r="H19" s="129">
        <f t="shared" si="0"/>
        <v>116</v>
      </c>
      <c r="I19" s="11"/>
      <c r="M19" s="269" t="s">
        <v>319</v>
      </c>
      <c r="N19" s="266" t="s">
        <v>320</v>
      </c>
    </row>
    <row r="20" spans="1:14">
      <c r="A20" s="34" t="s">
        <v>77</v>
      </c>
      <c r="B20" s="149">
        <v>0</v>
      </c>
      <c r="C20" s="11"/>
      <c r="D20" s="34" t="s">
        <v>271</v>
      </c>
      <c r="E20" s="263">
        <v>0</v>
      </c>
      <c r="F20" s="11"/>
      <c r="G20" s="129">
        <v>15</v>
      </c>
      <c r="H20" s="129">
        <f t="shared" si="0"/>
        <v>117</v>
      </c>
      <c r="I20" s="11"/>
      <c r="M20" s="269" t="s">
        <v>321</v>
      </c>
      <c r="N20" s="266" t="s">
        <v>322</v>
      </c>
    </row>
    <row r="21" spans="1:14">
      <c r="A21" s="11"/>
      <c r="B21" s="11"/>
      <c r="F21" s="11"/>
      <c r="G21" s="129">
        <v>16</v>
      </c>
      <c r="H21" s="129">
        <f t="shared" si="0"/>
        <v>117</v>
      </c>
      <c r="I21" s="11"/>
      <c r="M21" s="269" t="s">
        <v>323</v>
      </c>
      <c r="N21" s="266" t="s">
        <v>324</v>
      </c>
    </row>
    <row r="22" spans="1:14">
      <c r="A22" s="140" t="s">
        <v>12</v>
      </c>
      <c r="B22" s="133"/>
      <c r="C22" s="11"/>
      <c r="D22" s="144" t="s">
        <v>261</v>
      </c>
      <c r="E22" s="145"/>
      <c r="F22" s="11"/>
      <c r="G22" s="129">
        <v>17</v>
      </c>
      <c r="H22" s="129">
        <f t="shared" si="0"/>
        <v>118</v>
      </c>
      <c r="I22" s="11"/>
      <c r="M22" s="269" t="s">
        <v>325</v>
      </c>
      <c r="N22" s="266" t="s">
        <v>326</v>
      </c>
    </row>
    <row r="23" spans="1:14">
      <c r="A23" s="119" t="s">
        <v>161</v>
      </c>
      <c r="B23" s="160">
        <v>1.4999999999999999E-2</v>
      </c>
      <c r="C23" s="11"/>
      <c r="D23" s="155" t="s">
        <v>281</v>
      </c>
      <c r="E23" s="28"/>
      <c r="F23" s="11"/>
      <c r="G23" s="129">
        <v>18</v>
      </c>
      <c r="H23" s="129">
        <f t="shared" si="0"/>
        <v>119</v>
      </c>
      <c r="I23" s="11"/>
      <c r="M23" s="269" t="s">
        <v>327</v>
      </c>
      <c r="N23" s="266" t="s">
        <v>328</v>
      </c>
    </row>
    <row r="24" spans="1:14">
      <c r="A24" s="29" t="s">
        <v>162</v>
      </c>
      <c r="B24" s="161">
        <v>0.04</v>
      </c>
      <c r="C24" s="11"/>
      <c r="D24" s="29" t="s">
        <v>285</v>
      </c>
      <c r="E24" s="65">
        <v>28330000</v>
      </c>
      <c r="F24" s="11"/>
      <c r="G24" s="129">
        <v>19</v>
      </c>
      <c r="H24" s="129">
        <f t="shared" si="0"/>
        <v>119</v>
      </c>
      <c r="I24" s="11"/>
      <c r="M24" s="269" t="s">
        <v>329</v>
      </c>
      <c r="N24" s="266" t="s">
        <v>330</v>
      </c>
    </row>
    <row r="25" spans="1:14">
      <c r="A25" s="29" t="s">
        <v>163</v>
      </c>
      <c r="B25" s="161">
        <v>5.0000000000000001E-3</v>
      </c>
      <c r="C25" s="11"/>
      <c r="D25" s="29" t="s">
        <v>272</v>
      </c>
      <c r="E25" s="66">
        <v>22</v>
      </c>
      <c r="F25" s="11"/>
      <c r="G25" s="129">
        <v>20</v>
      </c>
      <c r="H25" s="129">
        <f t="shared" si="0"/>
        <v>120</v>
      </c>
      <c r="I25" s="11"/>
      <c r="M25" s="269" t="s">
        <v>331</v>
      </c>
      <c r="N25" s="266" t="s">
        <v>310</v>
      </c>
    </row>
    <row r="26" spans="1:14">
      <c r="A26" s="29" t="s">
        <v>164</v>
      </c>
      <c r="B26" s="161">
        <v>3.9E-2</v>
      </c>
      <c r="C26" s="11"/>
      <c r="D26" s="29" t="s">
        <v>273</v>
      </c>
      <c r="E26" s="66">
        <v>28</v>
      </c>
      <c r="F26" s="11"/>
      <c r="G26" s="129">
        <v>21</v>
      </c>
      <c r="H26" s="129">
        <f t="shared" si="0"/>
        <v>120</v>
      </c>
      <c r="I26" s="11"/>
      <c r="M26" s="269" t="s">
        <v>332</v>
      </c>
      <c r="N26" s="266" t="s">
        <v>333</v>
      </c>
    </row>
    <row r="27" spans="1:14" ht="15.75" customHeight="1">
      <c r="A27" s="29" t="s">
        <v>165</v>
      </c>
      <c r="B27" s="264">
        <v>0</v>
      </c>
      <c r="C27" s="11"/>
      <c r="D27" s="29"/>
      <c r="E27" s="33"/>
      <c r="F27" s="11"/>
      <c r="G27" s="129">
        <v>22</v>
      </c>
      <c r="H27" s="129">
        <f t="shared" si="0"/>
        <v>121</v>
      </c>
      <c r="I27" s="11"/>
      <c r="M27" s="269" t="s">
        <v>334</v>
      </c>
      <c r="N27" s="266" t="s">
        <v>335</v>
      </c>
    </row>
    <row r="28" spans="1:14" ht="15.75" customHeight="1">
      <c r="A28" s="29" t="s">
        <v>78</v>
      </c>
      <c r="B28" s="164">
        <v>7.0000000000000007E-2</v>
      </c>
      <c r="C28" s="11"/>
      <c r="D28" s="123" t="s">
        <v>174</v>
      </c>
      <c r="E28" s="33"/>
      <c r="F28" s="11"/>
      <c r="G28" s="129">
        <v>23</v>
      </c>
      <c r="H28" s="129">
        <f t="shared" si="0"/>
        <v>121</v>
      </c>
      <c r="I28" s="11"/>
      <c r="M28" s="269" t="s">
        <v>336</v>
      </c>
      <c r="N28" s="266" t="s">
        <v>337</v>
      </c>
    </row>
    <row r="29" spans="1:14" ht="15.75" customHeight="1">
      <c r="A29" s="34" t="s">
        <v>153</v>
      </c>
      <c r="B29" s="165">
        <v>0.14000000000000001</v>
      </c>
      <c r="C29" s="11"/>
      <c r="D29" s="29" t="s">
        <v>238</v>
      </c>
      <c r="E29" s="66">
        <v>1800000</v>
      </c>
      <c r="F29" s="11"/>
      <c r="G29" s="129">
        <v>24</v>
      </c>
      <c r="H29" s="129">
        <f t="shared" si="0"/>
        <v>122</v>
      </c>
      <c r="I29" s="11"/>
      <c r="M29" s="269" t="s">
        <v>338</v>
      </c>
      <c r="N29" s="266" t="s">
        <v>339</v>
      </c>
    </row>
    <row r="30" spans="1:14" ht="15.75" customHeight="1">
      <c r="A30" s="11"/>
      <c r="B30" s="11"/>
      <c r="D30" s="29" t="s">
        <v>246</v>
      </c>
      <c r="E30" s="66">
        <v>220000</v>
      </c>
      <c r="F30" s="11"/>
      <c r="G30" s="129">
        <v>25</v>
      </c>
      <c r="H30" s="129">
        <f t="shared" si="0"/>
        <v>123</v>
      </c>
      <c r="I30" s="11"/>
      <c r="M30" s="269" t="s">
        <v>340</v>
      </c>
      <c r="N30" s="266" t="s">
        <v>341</v>
      </c>
    </row>
    <row r="31" spans="1:14" ht="15.75" customHeight="1">
      <c r="A31" s="140" t="s">
        <v>191</v>
      </c>
      <c r="B31" s="133"/>
      <c r="C31" s="11"/>
      <c r="D31" s="29" t="s">
        <v>247</v>
      </c>
      <c r="E31" s="66">
        <v>40000</v>
      </c>
      <c r="F31" s="11"/>
      <c r="G31" s="129">
        <v>26</v>
      </c>
      <c r="H31" s="129">
        <f t="shared" si="0"/>
        <v>123</v>
      </c>
      <c r="I31" s="11"/>
      <c r="M31" s="269" t="s">
        <v>342</v>
      </c>
      <c r="N31" s="266" t="s">
        <v>343</v>
      </c>
    </row>
    <row r="32" spans="1:14" ht="15.75" customHeight="1">
      <c r="A32" s="119" t="s">
        <v>260</v>
      </c>
      <c r="B32" s="152">
        <v>380</v>
      </c>
      <c r="C32" s="11"/>
      <c r="D32" s="29" t="s">
        <v>239</v>
      </c>
      <c r="E32" s="66">
        <v>2000000</v>
      </c>
      <c r="F32" s="11"/>
      <c r="G32" s="129">
        <v>27</v>
      </c>
      <c r="H32" s="129">
        <f t="shared" si="0"/>
        <v>124</v>
      </c>
      <c r="I32" s="11"/>
      <c r="M32" s="269" t="s">
        <v>344</v>
      </c>
      <c r="N32" s="266" t="s">
        <v>345</v>
      </c>
    </row>
    <row r="33" spans="1:14" ht="15.75" customHeight="1">
      <c r="A33" s="34" t="s">
        <v>166</v>
      </c>
      <c r="B33" s="143">
        <v>24</v>
      </c>
      <c r="C33" s="11"/>
      <c r="D33" s="29" t="s">
        <v>274</v>
      </c>
      <c r="E33" s="66">
        <v>2000000</v>
      </c>
      <c r="F33" s="13"/>
      <c r="G33" s="129">
        <v>28</v>
      </c>
      <c r="H33" s="129">
        <f t="shared" si="0"/>
        <v>125</v>
      </c>
      <c r="I33" s="11"/>
      <c r="M33" s="269" t="s">
        <v>346</v>
      </c>
      <c r="N33" s="266" t="s">
        <v>347</v>
      </c>
    </row>
    <row r="34" spans="1:14" ht="15.75" customHeight="1">
      <c r="A34" s="11"/>
      <c r="B34" s="11"/>
      <c r="D34" s="29"/>
      <c r="E34" s="33"/>
      <c r="F34" s="11"/>
      <c r="G34" s="129">
        <v>29</v>
      </c>
      <c r="H34" s="129">
        <f t="shared" si="0"/>
        <v>125</v>
      </c>
      <c r="I34" s="11"/>
      <c r="M34" s="269" t="s">
        <v>348</v>
      </c>
      <c r="N34" s="266" t="s">
        <v>349</v>
      </c>
    </row>
    <row r="35" spans="1:14" ht="15.75" customHeight="1">
      <c r="A35" s="140" t="s">
        <v>190</v>
      </c>
      <c r="B35" s="133"/>
      <c r="C35" s="11"/>
      <c r="D35" s="123" t="s">
        <v>275</v>
      </c>
      <c r="E35" s="33"/>
      <c r="F35" s="11"/>
      <c r="G35" s="129">
        <v>30</v>
      </c>
      <c r="H35" s="129">
        <f t="shared" si="0"/>
        <v>126</v>
      </c>
      <c r="I35" s="11"/>
      <c r="M35" s="269" t="s">
        <v>350</v>
      </c>
      <c r="N35" s="266" t="s">
        <v>351</v>
      </c>
    </row>
    <row r="36" spans="1:14" ht="15.75" customHeight="1">
      <c r="A36" s="119" t="s">
        <v>258</v>
      </c>
      <c r="B36" s="250"/>
      <c r="C36" s="11"/>
      <c r="D36" s="29" t="s">
        <v>276</v>
      </c>
      <c r="E36" s="148">
        <v>3500000</v>
      </c>
      <c r="F36" s="11"/>
      <c r="G36" s="129">
        <v>31</v>
      </c>
      <c r="H36" s="129">
        <f t="shared" si="0"/>
        <v>126</v>
      </c>
      <c r="I36" s="11"/>
      <c r="M36" s="269" t="s">
        <v>352</v>
      </c>
      <c r="N36" s="266" t="s">
        <v>353</v>
      </c>
    </row>
    <row r="37" spans="1:14" ht="15.75" customHeight="1">
      <c r="A37" s="34" t="s">
        <v>259</v>
      </c>
      <c r="B37" s="153">
        <v>33000000</v>
      </c>
      <c r="C37" s="11"/>
      <c r="D37" s="29" t="s">
        <v>277</v>
      </c>
      <c r="E37" s="46">
        <f>Annual_salary_costs/(1+B29)</f>
        <v>3070175.4385964908</v>
      </c>
      <c r="G37" s="84"/>
      <c r="H37" s="11"/>
      <c r="M37" s="269" t="s">
        <v>354</v>
      </c>
      <c r="N37" s="266" t="s">
        <v>355</v>
      </c>
    </row>
    <row r="38" spans="1:14" ht="15.75" customHeight="1">
      <c r="A38" s="11"/>
      <c r="B38" s="11"/>
      <c r="D38" s="29" t="s">
        <v>278</v>
      </c>
      <c r="E38" s="156">
        <f>Annual_salary_base_costs-Employee_contribution</f>
        <v>2855263.1578947362</v>
      </c>
      <c r="M38" s="269" t="s">
        <v>356</v>
      </c>
      <c r="N38" s="266" t="s">
        <v>357</v>
      </c>
    </row>
    <row r="39" spans="1:14" ht="15.75" customHeight="1">
      <c r="A39" s="140" t="s">
        <v>209</v>
      </c>
      <c r="B39" s="133"/>
      <c r="C39" s="1"/>
      <c r="D39" s="29" t="s">
        <v>279</v>
      </c>
      <c r="E39" s="38">
        <f>Annual_salary_base_costs*B28</f>
        <v>214912.28070175438</v>
      </c>
      <c r="M39" s="269" t="s">
        <v>358</v>
      </c>
      <c r="N39" s="266" t="s">
        <v>359</v>
      </c>
    </row>
    <row r="40" spans="1:14" ht="15.75" customHeight="1">
      <c r="A40" s="119" t="s">
        <v>252</v>
      </c>
      <c r="B40" s="154">
        <v>5000000</v>
      </c>
      <c r="C40" s="11"/>
      <c r="D40" s="34" t="s">
        <v>280</v>
      </c>
      <c r="E40" s="48">
        <f>B29*E37</f>
        <v>429824.56140350876</v>
      </c>
      <c r="M40" s="269" t="s">
        <v>360</v>
      </c>
      <c r="N40" s="266" t="s">
        <v>361</v>
      </c>
    </row>
    <row r="41" spans="1:14" ht="15.75" customHeight="1">
      <c r="A41" s="29" t="s">
        <v>253</v>
      </c>
      <c r="B41" s="150">
        <v>0.9</v>
      </c>
      <c r="C41" s="11"/>
      <c r="M41" s="269" t="s">
        <v>362</v>
      </c>
      <c r="N41" s="266" t="s">
        <v>363</v>
      </c>
    </row>
    <row r="42" spans="1:14" ht="15.75" customHeight="1">
      <c r="A42" s="29" t="s">
        <v>254</v>
      </c>
      <c r="B42" s="66">
        <f>B40*(Increment-B41)</f>
        <v>499999.99999999988</v>
      </c>
      <c r="C42" s="11"/>
      <c r="M42" s="269" t="s">
        <v>364</v>
      </c>
      <c r="N42" s="266" t="s">
        <v>365</v>
      </c>
    </row>
    <row r="43" spans="1:14" ht="15.75" customHeight="1">
      <c r="A43" s="34" t="s">
        <v>192</v>
      </c>
      <c r="B43" s="151">
        <v>1</v>
      </c>
      <c r="C43" s="138"/>
      <c r="M43" s="269" t="s">
        <v>366</v>
      </c>
      <c r="N43" s="266" t="s">
        <v>367</v>
      </c>
    </row>
    <row r="44" spans="1:14" ht="15.75" customHeight="1">
      <c r="A44" s="11"/>
      <c r="B44" s="232"/>
      <c r="C44" s="138"/>
      <c r="M44" s="269" t="s">
        <v>368</v>
      </c>
      <c r="N44" s="266" t="s">
        <v>369</v>
      </c>
    </row>
    <row r="45" spans="1:14" ht="15.75" customHeight="1">
      <c r="A45" s="144" t="s">
        <v>302</v>
      </c>
      <c r="B45" s="144"/>
      <c r="M45" s="269" t="s">
        <v>370</v>
      </c>
      <c r="N45" s="266" t="s">
        <v>371</v>
      </c>
    </row>
    <row r="46" spans="1:14" ht="18" customHeight="1">
      <c r="A46" s="248" t="s">
        <v>208</v>
      </c>
      <c r="B46" s="234"/>
      <c r="M46" s="269" t="s">
        <v>372</v>
      </c>
      <c r="N46" s="266" t="s">
        <v>373</v>
      </c>
    </row>
    <row r="47" spans="1:14" ht="15.75" customHeight="1">
      <c r="A47" s="233"/>
      <c r="B47" s="233"/>
      <c r="M47" s="269" t="s">
        <v>374</v>
      </c>
      <c r="N47" s="266" t="s">
        <v>375</v>
      </c>
    </row>
    <row r="48" spans="1:14" ht="15.75" customHeight="1">
      <c r="A48" s="233"/>
      <c r="B48" s="233"/>
      <c r="M48" s="269" t="s">
        <v>376</v>
      </c>
      <c r="N48" s="266" t="s">
        <v>377</v>
      </c>
    </row>
    <row r="49" spans="1:14" ht="15.75" customHeight="1">
      <c r="A49" s="233"/>
      <c r="B49" s="233"/>
      <c r="M49" s="269" t="s">
        <v>378</v>
      </c>
      <c r="N49" s="266" t="s">
        <v>379</v>
      </c>
    </row>
    <row r="50" spans="1:14" ht="15.75" customHeight="1">
      <c r="A50" s="233"/>
      <c r="B50" s="233"/>
      <c r="M50" s="269" t="s">
        <v>380</v>
      </c>
      <c r="N50" s="266" t="s">
        <v>381</v>
      </c>
    </row>
    <row r="51" spans="1:14" ht="15.75" customHeight="1">
      <c r="A51" s="229"/>
      <c r="B51" s="229"/>
      <c r="M51" s="269" t="s">
        <v>382</v>
      </c>
      <c r="N51" s="266" t="s">
        <v>383</v>
      </c>
    </row>
    <row r="52" spans="1:14" ht="15.75" customHeight="1">
      <c r="A52" s="229"/>
      <c r="B52" s="229"/>
      <c r="M52" s="269" t="s">
        <v>384</v>
      </c>
      <c r="N52" s="266" t="s">
        <v>385</v>
      </c>
    </row>
    <row r="53" spans="1:14" ht="15.75" customHeight="1">
      <c r="A53" s="229"/>
      <c r="B53" s="229"/>
      <c r="M53" s="269" t="s">
        <v>386</v>
      </c>
      <c r="N53" s="266" t="s">
        <v>387</v>
      </c>
    </row>
    <row r="54" spans="1:14" ht="15.75" customHeight="1">
      <c r="A54" s="229"/>
      <c r="B54" s="229"/>
      <c r="M54" s="269" t="s">
        <v>388</v>
      </c>
      <c r="N54" s="266" t="s">
        <v>367</v>
      </c>
    </row>
    <row r="55" spans="1:14" ht="15.75" customHeight="1">
      <c r="A55" s="229"/>
      <c r="B55" s="229"/>
      <c r="M55" s="269" t="s">
        <v>389</v>
      </c>
      <c r="N55" s="266" t="s">
        <v>390</v>
      </c>
    </row>
    <row r="56" spans="1:14" ht="15.75" customHeight="1">
      <c r="A56" s="229"/>
      <c r="B56" s="229"/>
      <c r="M56" s="269" t="s">
        <v>391</v>
      </c>
      <c r="N56" s="266" t="s">
        <v>392</v>
      </c>
    </row>
    <row r="57" spans="1:14" ht="15.75" customHeight="1">
      <c r="A57" s="229"/>
      <c r="B57" s="230"/>
      <c r="M57" s="269" t="s">
        <v>393</v>
      </c>
      <c r="N57" s="266" t="s">
        <v>394</v>
      </c>
    </row>
    <row r="58" spans="1:14" ht="15.75" customHeight="1">
      <c r="A58" s="231"/>
      <c r="B58" s="229"/>
      <c r="M58" s="269" t="s">
        <v>395</v>
      </c>
      <c r="N58" s="266" t="s">
        <v>396</v>
      </c>
    </row>
    <row r="59" spans="1:14" ht="15.75" customHeight="1">
      <c r="M59" s="269" t="s">
        <v>397</v>
      </c>
      <c r="N59" s="266" t="s">
        <v>398</v>
      </c>
    </row>
    <row r="60" spans="1:14" ht="15.75" customHeight="1">
      <c r="B60" s="7"/>
      <c r="M60" s="269" t="s">
        <v>399</v>
      </c>
      <c r="N60" s="266" t="s">
        <v>400</v>
      </c>
    </row>
    <row r="61" spans="1:14" ht="15.75" customHeight="1">
      <c r="B61" s="7"/>
      <c r="M61" s="269" t="s">
        <v>401</v>
      </c>
      <c r="N61" s="266" t="s">
        <v>402</v>
      </c>
    </row>
    <row r="62" spans="1:14" ht="15.75" customHeight="1">
      <c r="M62" s="269" t="s">
        <v>403</v>
      </c>
      <c r="N62" s="266" t="s">
        <v>404</v>
      </c>
    </row>
    <row r="63" spans="1:14" ht="15.75" customHeight="1">
      <c r="M63" s="269" t="s">
        <v>405</v>
      </c>
      <c r="N63" s="266" t="s">
        <v>406</v>
      </c>
    </row>
    <row r="64" spans="1:14" ht="15.75" customHeight="1">
      <c r="M64" s="269" t="s">
        <v>407</v>
      </c>
      <c r="N64" s="266" t="s">
        <v>408</v>
      </c>
    </row>
    <row r="65" spans="13:14" ht="15.75" customHeight="1">
      <c r="M65" s="269" t="s">
        <v>409</v>
      </c>
      <c r="N65" s="266" t="s">
        <v>410</v>
      </c>
    </row>
    <row r="66" spans="13:14" ht="15.75" customHeight="1">
      <c r="M66" s="269" t="s">
        <v>411</v>
      </c>
      <c r="N66" s="266" t="s">
        <v>412</v>
      </c>
    </row>
    <row r="67" spans="13:14" ht="15.75" customHeight="1">
      <c r="M67" s="269" t="s">
        <v>413</v>
      </c>
      <c r="N67" s="266" t="s">
        <v>410</v>
      </c>
    </row>
    <row r="68" spans="13:14" ht="15.75" customHeight="1">
      <c r="M68" s="269" t="s">
        <v>414</v>
      </c>
      <c r="N68" s="266" t="s">
        <v>415</v>
      </c>
    </row>
    <row r="69" spans="13:14" ht="15.75" customHeight="1">
      <c r="M69" s="269" t="s">
        <v>416</v>
      </c>
      <c r="N69" s="266" t="s">
        <v>417</v>
      </c>
    </row>
    <row r="70" spans="13:14" ht="15.75" customHeight="1">
      <c r="M70" s="269" t="s">
        <v>418</v>
      </c>
      <c r="N70" s="266" t="s">
        <v>419</v>
      </c>
    </row>
    <row r="71" spans="13:14" ht="15.75" customHeight="1">
      <c r="M71" s="269" t="s">
        <v>420</v>
      </c>
      <c r="N71" s="266" t="s">
        <v>421</v>
      </c>
    </row>
    <row r="72" spans="13:14" ht="15.75" customHeight="1">
      <c r="M72" s="269" t="s">
        <v>422</v>
      </c>
      <c r="N72" s="266" t="s">
        <v>423</v>
      </c>
    </row>
    <row r="73" spans="13:14" ht="15.75" customHeight="1">
      <c r="M73" s="269" t="s">
        <v>424</v>
      </c>
      <c r="N73" s="266" t="s">
        <v>425</v>
      </c>
    </row>
    <row r="74" spans="13:14" ht="15.75" customHeight="1">
      <c r="M74" s="269" t="s">
        <v>426</v>
      </c>
      <c r="N74" s="266" t="s">
        <v>427</v>
      </c>
    </row>
    <row r="75" spans="13:14" ht="15.75" customHeight="1">
      <c r="M75" s="269" t="s">
        <v>428</v>
      </c>
      <c r="N75" s="266" t="s">
        <v>429</v>
      </c>
    </row>
    <row r="76" spans="13:14" ht="15.75" customHeight="1">
      <c r="M76" s="269" t="s">
        <v>430</v>
      </c>
      <c r="N76" s="266" t="s">
        <v>431</v>
      </c>
    </row>
    <row r="77" spans="13:14" ht="15.75" customHeight="1">
      <c r="M77" s="269" t="s">
        <v>432</v>
      </c>
      <c r="N77" s="266" t="s">
        <v>433</v>
      </c>
    </row>
    <row r="78" spans="13:14" ht="15.75" customHeight="1">
      <c r="M78" s="269" t="s">
        <v>434</v>
      </c>
      <c r="N78" s="266" t="s">
        <v>435</v>
      </c>
    </row>
    <row r="79" spans="13:14" ht="15.75" customHeight="1">
      <c r="M79" s="270" t="s">
        <v>436</v>
      </c>
      <c r="N79" s="267" t="s">
        <v>437</v>
      </c>
    </row>
    <row r="80" spans="13:14" ht="15.75" customHeight="1"/>
    <row r="81" spans="1:1" ht="15.75" customHeight="1"/>
    <row r="82" spans="1:1" ht="15.75" customHeight="1"/>
    <row r="83" spans="1:1" ht="15.75" customHeight="1"/>
    <row r="84" spans="1:1" ht="15.75" customHeight="1"/>
    <row r="85" spans="1:1" ht="15.75" customHeight="1"/>
    <row r="86" spans="1:1" ht="15.75" customHeight="1"/>
    <row r="87" spans="1:1" ht="15.75" customHeight="1"/>
    <row r="88" spans="1:1" ht="15.75" customHeight="1">
      <c r="A88" s="1"/>
    </row>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003"/>
  <sheetViews>
    <sheetView workbookViewId="0">
      <selection activeCell="I6" sqref="I6"/>
    </sheetView>
  </sheetViews>
  <sheetFormatPr defaultColWidth="12.7109375" defaultRowHeight="15" customHeight="1"/>
  <cols>
    <col min="1" max="1" width="6.85546875" style="2" bestFit="1" customWidth="1"/>
    <col min="2" max="2" width="13.7109375" style="2" bestFit="1" customWidth="1"/>
    <col min="3" max="5" width="12.5703125" style="2" bestFit="1" customWidth="1"/>
    <col min="6" max="6" width="13.7109375" style="2" bestFit="1" customWidth="1"/>
    <col min="7" max="7" width="4" style="2" customWidth="1"/>
    <col min="8" max="8" width="6.85546875" style="2" bestFit="1" customWidth="1"/>
    <col min="9" max="9" width="19.7109375" style="2" bestFit="1" customWidth="1"/>
    <col min="10" max="10" width="15.28515625" style="2" bestFit="1" customWidth="1"/>
    <col min="11" max="11" width="15.42578125" style="2" bestFit="1" customWidth="1"/>
    <col min="12" max="12" width="12.7109375" style="2" bestFit="1" customWidth="1"/>
    <col min="13" max="13" width="23.5703125" style="2" bestFit="1" customWidth="1"/>
    <col min="14" max="14" width="13.7109375" style="2" bestFit="1" customWidth="1"/>
    <col min="15" max="15" width="20.5703125" style="2" bestFit="1" customWidth="1"/>
    <col min="16" max="16" width="4.140625" style="2" customWidth="1"/>
    <col min="17" max="17" width="20.42578125" style="2" bestFit="1" customWidth="1"/>
    <col min="18" max="20" width="13.7109375" style="2" bestFit="1" customWidth="1"/>
    <col min="21" max="21" width="12.5703125" style="2" bestFit="1" customWidth="1"/>
    <col min="22" max="22" width="11.42578125" style="2" bestFit="1" customWidth="1"/>
    <col min="23" max="23" width="18.85546875" style="2" bestFit="1" customWidth="1"/>
    <col min="24" max="24" width="18.28515625" style="2" customWidth="1"/>
    <col min="25" max="25" width="21.7109375" style="2" customWidth="1"/>
    <col min="26" max="26" width="22.28515625" style="2" customWidth="1"/>
    <col min="27" max="27" width="16.85546875" style="2" customWidth="1"/>
    <col min="28" max="28" width="17.28515625" style="2" customWidth="1"/>
    <col min="29" max="29" width="18.7109375" style="2" customWidth="1"/>
    <col min="30" max="16384" width="12.7109375" style="2"/>
  </cols>
  <sheetData>
    <row r="1" spans="1:24" ht="15" customHeight="1">
      <c r="A1" s="182" t="s">
        <v>207</v>
      </c>
    </row>
    <row r="2" spans="1:24" ht="15" customHeight="1">
      <c r="A2" s="1" t="s">
        <v>223</v>
      </c>
    </row>
    <row r="3" spans="1:24" ht="15" customHeight="1" thickBot="1"/>
    <row r="4" spans="1:24">
      <c r="A4" s="108" t="s">
        <v>79</v>
      </c>
      <c r="B4" s="109"/>
      <c r="C4" s="109"/>
      <c r="D4" s="109"/>
      <c r="E4" s="109"/>
      <c r="F4" s="110"/>
      <c r="G4" s="11"/>
      <c r="H4" s="111" t="s">
        <v>195</v>
      </c>
      <c r="I4" s="112"/>
      <c r="J4" s="112"/>
      <c r="K4" s="112"/>
      <c r="L4" s="112"/>
      <c r="M4" s="112"/>
      <c r="N4" s="112"/>
      <c r="O4" s="113"/>
      <c r="P4" s="11"/>
      <c r="Q4" s="111" t="s">
        <v>98</v>
      </c>
      <c r="R4" s="112"/>
      <c r="S4" s="112"/>
      <c r="T4" s="113"/>
      <c r="U4" s="11"/>
      <c r="W4" s="11"/>
    </row>
    <row r="5" spans="1:24">
      <c r="A5" s="81" t="s">
        <v>0</v>
      </c>
      <c r="B5" s="18" t="s">
        <v>21</v>
      </c>
      <c r="C5" s="18" t="s">
        <v>22</v>
      </c>
      <c r="D5" s="18" t="s">
        <v>23</v>
      </c>
      <c r="E5" s="18" t="s">
        <v>24</v>
      </c>
      <c r="F5" s="82" t="s">
        <v>25</v>
      </c>
      <c r="G5" s="11"/>
      <c r="H5" s="81" t="s">
        <v>290</v>
      </c>
      <c r="I5" s="18" t="s">
        <v>80</v>
      </c>
      <c r="J5" s="18" t="s">
        <v>81</v>
      </c>
      <c r="K5" s="18" t="s">
        <v>82</v>
      </c>
      <c r="L5" s="18" t="s">
        <v>83</v>
      </c>
      <c r="M5" s="18" t="s">
        <v>84</v>
      </c>
      <c r="N5" s="18" t="s">
        <v>85</v>
      </c>
      <c r="O5" s="82" t="s">
        <v>289</v>
      </c>
      <c r="P5" s="11"/>
      <c r="Q5" s="81" t="s">
        <v>290</v>
      </c>
      <c r="R5" s="18" t="s">
        <v>86</v>
      </c>
      <c r="S5" s="18" t="s">
        <v>87</v>
      </c>
      <c r="T5" s="82" t="s">
        <v>88</v>
      </c>
      <c r="U5" s="11"/>
      <c r="W5" s="11"/>
    </row>
    <row r="6" spans="1:24">
      <c r="A6" s="71">
        <f>First_year</f>
        <v>1</v>
      </c>
      <c r="B6" s="168">
        <f>Development_cost+'2a), 4) Inputs'!B19</f>
        <v>260000000</v>
      </c>
      <c r="C6" s="168">
        <f>B6*(Bank_rate)*('2a), 4) Inputs'!B12/'2a), 4) Inputs'!B8)</f>
        <v>5200000</v>
      </c>
      <c r="D6" s="25"/>
      <c r="E6" s="26">
        <f>C6-D6</f>
        <v>5200000</v>
      </c>
      <c r="F6" s="93">
        <f>C6+B6</f>
        <v>265200000</v>
      </c>
      <c r="G6" s="11"/>
      <c r="H6" s="71">
        <f>First_year</f>
        <v>1</v>
      </c>
      <c r="I6" s="14"/>
      <c r="J6" s="14"/>
      <c r="K6" s="14"/>
      <c r="L6" s="14"/>
      <c r="M6" s="14"/>
      <c r="N6" s="14"/>
      <c r="O6" s="77"/>
      <c r="P6" s="11"/>
      <c r="Q6" s="95">
        <f>First_year</f>
        <v>1</v>
      </c>
      <c r="R6" s="15"/>
      <c r="S6" s="15"/>
      <c r="T6" s="90"/>
      <c r="U6" s="11"/>
      <c r="W6" s="11"/>
    </row>
    <row r="7" spans="1:24">
      <c r="A7" s="71">
        <f t="shared" ref="A7:A36" si="0">A6+Increment</f>
        <v>2</v>
      </c>
      <c r="B7" s="26">
        <f t="shared" ref="B7:B36" si="1">F6</f>
        <v>265200000</v>
      </c>
      <c r="C7" s="199">
        <f t="shared" ref="C7:C36" si="2">B7*(Bank_rate)</f>
        <v>10608000</v>
      </c>
      <c r="D7" s="27">
        <f>PMT(Bank_rate,COUNTA(A7:A36),B7,0)*-1</f>
        <v>15336542.290246988</v>
      </c>
      <c r="E7" s="26">
        <f>C7-D7</f>
        <v>-4728542.2902469877</v>
      </c>
      <c r="F7" s="78">
        <f t="shared" ref="F7:F35" si="3">E7+B7</f>
        <v>260471457.70975301</v>
      </c>
      <c r="G7" s="11"/>
      <c r="H7" s="71">
        <f t="shared" ref="H7:H10" si="4">H6+Increment</f>
        <v>2</v>
      </c>
      <c r="I7" s="199">
        <f>Insurance_expense</f>
        <v>1800000</v>
      </c>
      <c r="J7" s="199">
        <f>Annual_salary_base_costs</f>
        <v>3070175.4385964908</v>
      </c>
      <c r="K7" s="199">
        <f>Employer_contribution</f>
        <v>429824.56140350876</v>
      </c>
      <c r="L7" s="199">
        <f>General_maintenance</f>
        <v>2000000</v>
      </c>
      <c r="M7" s="199">
        <f>Stores_and_lubricants</f>
        <v>2000000</v>
      </c>
      <c r="N7" s="199">
        <f>Carbon_offset</f>
        <v>33000000</v>
      </c>
      <c r="O7" s="93">
        <f t="shared" ref="O7:O10" si="5">SUM(I7:N7)</f>
        <v>42300000</v>
      </c>
      <c r="P7" s="11"/>
      <c r="Q7" s="96">
        <f>Q6+Increment</f>
        <v>2</v>
      </c>
      <c r="R7" s="199">
        <f>Quantity_demand_Y2*(Increment+Gas_demand_rate)^(Q7-'2a), 4) Inputs'!$B$11)*Selling_price_LNG_Y2*(Increment+Inflation_rate)^(Q7-'2a), 4) Inputs'!$B$11)</f>
        <v>793240000</v>
      </c>
      <c r="S7" s="199">
        <f>Quantity_demand_Y2*(Increment+Gas_demand_rate)^(Q7-'2a), 4) Inputs'!$B$11)*Purchase_cost_LNG*(Increment+Inflation_rate)^(Q7-'2a), 4) Inputs'!$B$11)</f>
        <v>623260000</v>
      </c>
      <c r="T7" s="93">
        <f>R7-S7</f>
        <v>169980000</v>
      </c>
      <c r="U7" s="11"/>
      <c r="W7" s="11"/>
    </row>
    <row r="8" spans="1:24">
      <c r="A8" s="71">
        <f t="shared" si="0"/>
        <v>3</v>
      </c>
      <c r="B8" s="26">
        <f t="shared" si="1"/>
        <v>260471457.70975301</v>
      </c>
      <c r="C8" s="199">
        <f t="shared" si="2"/>
        <v>10418858.30839012</v>
      </c>
      <c r="D8" s="27">
        <f t="shared" ref="D8:D36" si="6">D7</f>
        <v>15336542.290246988</v>
      </c>
      <c r="E8" s="26">
        <f t="shared" ref="E8:E36" si="7">C8-D8</f>
        <v>-4917683.9818568677</v>
      </c>
      <c r="F8" s="78">
        <f t="shared" si="3"/>
        <v>255553773.72789615</v>
      </c>
      <c r="G8" s="11"/>
      <c r="H8" s="71">
        <f t="shared" si="4"/>
        <v>3</v>
      </c>
      <c r="I8" s="199">
        <f t="shared" ref="I8:I10" si="8">I7*(Inflation_rate+Increment)</f>
        <v>1826999.9999999998</v>
      </c>
      <c r="J8" s="199">
        <f t="shared" ref="J8:J10" si="9">J7*(Inflation_rate+Increment)</f>
        <v>3116228.0701754377</v>
      </c>
      <c r="K8" s="199">
        <f t="shared" ref="K8:K10" si="10">K7*(Inflation_rate+Increment)</f>
        <v>436271.92982456135</v>
      </c>
      <c r="L8" s="199">
        <f t="shared" ref="L8:L10" si="11">L7*(Inflation_rate+Increment)</f>
        <v>2029999.9999999998</v>
      </c>
      <c r="M8" s="199">
        <f t="shared" ref="M8:M10" si="12">M7*(Inflation_rate+Increment)</f>
        <v>2029999.9999999998</v>
      </c>
      <c r="N8" s="199">
        <f>N7*(Carbon_offset_rate+Increment)</f>
        <v>34287000</v>
      </c>
      <c r="O8" s="93">
        <f t="shared" si="5"/>
        <v>43726500</v>
      </c>
      <c r="P8" s="11"/>
      <c r="Q8" s="96">
        <f>Q7+Increment</f>
        <v>3</v>
      </c>
      <c r="R8" s="199">
        <f>Quantity_demand_Y2*(Increment+Gas_demand_rate)^(Q8-'2a), 4) Inputs'!$B$11)*Selling_price_LNG_Y2*(Increment+Inflation_rate)^(Q8-'2a), 4) Inputs'!$B$11)</f>
        <v>809164292.99999976</v>
      </c>
      <c r="S8" s="199">
        <f>Quantity_demand_Y2*(Increment+Gas_demand_rate)^(Q8-'2a), 4) Inputs'!$B$11)*Purchase_cost_LNG*(Increment+Inflation_rate)^(Q8-'2a), 4) Inputs'!$B$11)</f>
        <v>635771944.49999976</v>
      </c>
      <c r="T8" s="93">
        <f>R8-S8</f>
        <v>173392348.5</v>
      </c>
      <c r="U8" s="11"/>
      <c r="W8" s="11"/>
    </row>
    <row r="9" spans="1:24">
      <c r="A9" s="71">
        <f t="shared" si="0"/>
        <v>4</v>
      </c>
      <c r="B9" s="26">
        <f t="shared" si="1"/>
        <v>255553773.72789615</v>
      </c>
      <c r="C9" s="199">
        <f t="shared" si="2"/>
        <v>10222150.949115846</v>
      </c>
      <c r="D9" s="27">
        <f t="shared" si="6"/>
        <v>15336542.290246988</v>
      </c>
      <c r="E9" s="26">
        <f t="shared" si="7"/>
        <v>-5114391.3411311414</v>
      </c>
      <c r="F9" s="78">
        <f t="shared" si="3"/>
        <v>250439382.386765</v>
      </c>
      <c r="G9" s="11"/>
      <c r="H9" s="71">
        <f t="shared" si="4"/>
        <v>4</v>
      </c>
      <c r="I9" s="199">
        <f t="shared" si="8"/>
        <v>1854404.9999999995</v>
      </c>
      <c r="J9" s="199">
        <f t="shared" si="9"/>
        <v>3162971.4912280692</v>
      </c>
      <c r="K9" s="199">
        <f t="shared" si="10"/>
        <v>442816.00877192972</v>
      </c>
      <c r="L9" s="199">
        <f t="shared" si="11"/>
        <v>2060449.9999999995</v>
      </c>
      <c r="M9" s="199">
        <f t="shared" si="12"/>
        <v>2060449.9999999995</v>
      </c>
      <c r="N9" s="199">
        <f>N8*(Carbon_offset_rate+Increment)</f>
        <v>35624193</v>
      </c>
      <c r="O9" s="93">
        <f t="shared" si="5"/>
        <v>45205285.5</v>
      </c>
      <c r="P9" s="11"/>
      <c r="Q9" s="96">
        <f>Q8+Increment</f>
        <v>4</v>
      </c>
      <c r="R9" s="199">
        <f>Quantity_demand_Y2*(Increment+Gas_demand_rate)^(Q9-'2a), 4) Inputs'!$B$11)*Selling_price_LNG_Y2*(Increment+Inflation_rate)^(Q9-'2a), 4) Inputs'!$B$11)</f>
        <v>825408266.18197453</v>
      </c>
      <c r="S9" s="199">
        <f>Quantity_demand_Y2*(Increment+Gas_demand_rate)^(Q9-'2a), 4) Inputs'!$B$11)*Purchase_cost_LNG*(Increment+Inflation_rate)^(Q9-'2a), 4) Inputs'!$B$11)</f>
        <v>648535066.28583717</v>
      </c>
      <c r="T9" s="93">
        <f>R9-S9</f>
        <v>176873199.89613736</v>
      </c>
      <c r="U9" s="11"/>
      <c r="W9" s="11"/>
    </row>
    <row r="10" spans="1:24" ht="15.75" thickBot="1">
      <c r="A10" s="71">
        <f t="shared" si="0"/>
        <v>5</v>
      </c>
      <c r="B10" s="26">
        <f t="shared" si="1"/>
        <v>250439382.386765</v>
      </c>
      <c r="C10" s="199">
        <f t="shared" si="2"/>
        <v>10017575.295470601</v>
      </c>
      <c r="D10" s="27">
        <f t="shared" si="6"/>
        <v>15336542.290246988</v>
      </c>
      <c r="E10" s="26">
        <f t="shared" si="7"/>
        <v>-5318966.9947763868</v>
      </c>
      <c r="F10" s="78">
        <f t="shared" si="3"/>
        <v>245120415.39198861</v>
      </c>
      <c r="G10" s="11"/>
      <c r="H10" s="72">
        <f t="shared" si="4"/>
        <v>5</v>
      </c>
      <c r="I10" s="214">
        <f t="shared" si="8"/>
        <v>1882221.0749999993</v>
      </c>
      <c r="J10" s="214">
        <f t="shared" si="9"/>
        <v>3210416.0635964898</v>
      </c>
      <c r="K10" s="214">
        <f t="shared" si="10"/>
        <v>449458.24890350859</v>
      </c>
      <c r="L10" s="214">
        <f t="shared" si="11"/>
        <v>2091356.7499999993</v>
      </c>
      <c r="M10" s="214">
        <f t="shared" si="12"/>
        <v>2091356.7499999993</v>
      </c>
      <c r="N10" s="214">
        <f>N9*(Y5_CO_Rate+Increment)</f>
        <v>71248386</v>
      </c>
      <c r="O10" s="251">
        <f t="shared" si="5"/>
        <v>80973194.887499988</v>
      </c>
      <c r="P10" s="11"/>
      <c r="Q10" s="97">
        <f>Q9+Increment</f>
        <v>5</v>
      </c>
      <c r="R10" s="214">
        <f>Quantity_demand_Y2*(Increment+Gas_demand_rate)^(Q10-'2a), 4) Inputs'!$B$11)*Selling_price_LNG_Y2*(Increment+Inflation_rate)^(Q10-'2a), 4) Inputs'!$B$11)</f>
        <v>841978337.12557757</v>
      </c>
      <c r="S10" s="214">
        <f>Quantity_demand_Y2*(Increment+Gas_demand_rate)^(Q10-'2a), 4) Inputs'!$B$11)*Purchase_cost_LNG*(Increment+Inflation_rate)^(Q10-'2a), 4) Inputs'!$B$11)</f>
        <v>661554407.74152517</v>
      </c>
      <c r="T10" s="251">
        <f>R10-S10</f>
        <v>180423929.3840524</v>
      </c>
      <c r="U10" s="11"/>
      <c r="W10" s="11"/>
    </row>
    <row r="11" spans="1:24" ht="15.75" thickBot="1">
      <c r="A11" s="71">
        <f t="shared" si="0"/>
        <v>6</v>
      </c>
      <c r="B11" s="26">
        <f t="shared" si="1"/>
        <v>245120415.39198861</v>
      </c>
      <c r="C11" s="199">
        <f t="shared" si="2"/>
        <v>9804816.6156795453</v>
      </c>
      <c r="D11" s="27">
        <f t="shared" si="6"/>
        <v>15336542.290246988</v>
      </c>
      <c r="E11" s="26">
        <f t="shared" si="7"/>
        <v>-5531725.6745674424</v>
      </c>
      <c r="F11" s="78">
        <f t="shared" si="3"/>
        <v>239588689.71742117</v>
      </c>
      <c r="G11" s="11"/>
      <c r="H11" s="11"/>
      <c r="I11" s="26"/>
      <c r="J11" s="26"/>
      <c r="K11" s="26"/>
      <c r="L11" s="26"/>
      <c r="M11" s="26"/>
      <c r="N11" s="26"/>
      <c r="O11" s="27"/>
      <c r="P11" s="11"/>
      <c r="Q11" s="11"/>
      <c r="R11" s="26"/>
      <c r="S11" s="26"/>
      <c r="T11" s="26"/>
      <c r="W11" s="11"/>
    </row>
    <row r="12" spans="1:24" ht="15.75" thickBot="1">
      <c r="A12" s="71">
        <f t="shared" si="0"/>
        <v>7</v>
      </c>
      <c r="B12" s="26">
        <f t="shared" si="1"/>
        <v>239588689.71742117</v>
      </c>
      <c r="C12" s="199">
        <f t="shared" si="2"/>
        <v>9583547.5886968467</v>
      </c>
      <c r="D12" s="27">
        <f t="shared" si="6"/>
        <v>15336542.290246988</v>
      </c>
      <c r="E12" s="26">
        <f t="shared" si="7"/>
        <v>-5752994.701550141</v>
      </c>
      <c r="F12" s="78">
        <f t="shared" si="3"/>
        <v>233835695.01587105</v>
      </c>
      <c r="G12" s="11"/>
      <c r="H12" s="11"/>
      <c r="I12" s="11"/>
      <c r="J12" s="11"/>
      <c r="K12" s="11"/>
      <c r="L12" s="11"/>
      <c r="M12" s="11"/>
      <c r="N12" s="26"/>
      <c r="O12" s="27"/>
      <c r="P12" s="11"/>
      <c r="Q12" s="111" t="s">
        <v>89</v>
      </c>
      <c r="R12" s="114"/>
      <c r="S12" s="114"/>
      <c r="T12" s="115"/>
      <c r="U12" s="11"/>
      <c r="W12" s="11"/>
    </row>
    <row r="13" spans="1:24">
      <c r="A13" s="71">
        <f t="shared" si="0"/>
        <v>8</v>
      </c>
      <c r="B13" s="26">
        <f t="shared" si="1"/>
        <v>233835695.01587105</v>
      </c>
      <c r="C13" s="199">
        <f t="shared" si="2"/>
        <v>9353427.8006348424</v>
      </c>
      <c r="D13" s="27">
        <f t="shared" si="6"/>
        <v>15336542.290246988</v>
      </c>
      <c r="E13" s="26">
        <f>C13-D13</f>
        <v>-5983114.4896121453</v>
      </c>
      <c r="F13" s="78">
        <f t="shared" si="3"/>
        <v>227852580.52625892</v>
      </c>
      <c r="G13" s="11"/>
      <c r="H13" s="111" t="s">
        <v>291</v>
      </c>
      <c r="I13" s="112"/>
      <c r="J13" s="112"/>
      <c r="K13" s="112"/>
      <c r="L13" s="112"/>
      <c r="M13" s="113"/>
      <c r="N13" s="26"/>
      <c r="O13" s="27"/>
      <c r="P13" s="11"/>
      <c r="Q13" s="81" t="s">
        <v>290</v>
      </c>
      <c r="R13" s="99">
        <v>3</v>
      </c>
      <c r="S13" s="18">
        <v>4</v>
      </c>
      <c r="T13" s="82">
        <v>5</v>
      </c>
      <c r="U13" s="11"/>
      <c r="W13" s="11"/>
      <c r="X13" s="6"/>
    </row>
    <row r="14" spans="1:24">
      <c r="A14" s="71">
        <f t="shared" si="0"/>
        <v>9</v>
      </c>
      <c r="B14" s="26">
        <f t="shared" si="1"/>
        <v>227852580.52625892</v>
      </c>
      <c r="C14" s="199">
        <f t="shared" si="2"/>
        <v>9114103.2210503574</v>
      </c>
      <c r="D14" s="27">
        <f t="shared" si="6"/>
        <v>15336542.290246988</v>
      </c>
      <c r="E14" s="26">
        <f t="shared" si="7"/>
        <v>-6222439.0691966303</v>
      </c>
      <c r="F14" s="78">
        <f t="shared" si="3"/>
        <v>221630141.45706227</v>
      </c>
      <c r="G14" s="11"/>
      <c r="H14" s="81" t="s">
        <v>290</v>
      </c>
      <c r="I14" s="18" t="s">
        <v>288</v>
      </c>
      <c r="J14" s="18" t="s">
        <v>287</v>
      </c>
      <c r="K14" s="18" t="s">
        <v>99</v>
      </c>
      <c r="L14" s="18" t="s">
        <v>100</v>
      </c>
      <c r="M14" s="82" t="s">
        <v>289</v>
      </c>
      <c r="N14" s="26"/>
      <c r="O14" s="27"/>
      <c r="P14" s="11"/>
      <c r="Q14" s="95" t="s">
        <v>93</v>
      </c>
      <c r="R14" s="174">
        <f>Selling_price_LNG_Y2*(Increment+Inflation_rate)</f>
        <v>28.419999999999998</v>
      </c>
      <c r="S14" s="174">
        <f>Selling_price_LNG_Y2*(Increment+Inflation_rate)*(Increment+Inflation_rate)</f>
        <v>28.846299999999996</v>
      </c>
      <c r="T14" s="175">
        <f>Selling_price_LNG_Y2*(Increment+Inflation_rate)*(Increment+Inflation_rate)*(Increment+Inflation_rate)</f>
        <v>29.278994499999992</v>
      </c>
      <c r="U14" s="11"/>
      <c r="W14" s="11"/>
    </row>
    <row r="15" spans="1:24" ht="15.75" thickBot="1">
      <c r="A15" s="71">
        <f t="shared" si="0"/>
        <v>10</v>
      </c>
      <c r="B15" s="26">
        <f t="shared" si="1"/>
        <v>221630141.45706227</v>
      </c>
      <c r="C15" s="199">
        <f t="shared" si="2"/>
        <v>8865205.6582824904</v>
      </c>
      <c r="D15" s="27">
        <f t="shared" si="6"/>
        <v>15336542.290246988</v>
      </c>
      <c r="E15" s="26">
        <f t="shared" si="7"/>
        <v>-6471336.6319644973</v>
      </c>
      <c r="F15" s="78">
        <f t="shared" si="3"/>
        <v>215158804.82509777</v>
      </c>
      <c r="G15" s="11"/>
      <c r="H15" s="71">
        <f>First_year</f>
        <v>1</v>
      </c>
      <c r="I15" s="14"/>
      <c r="J15" s="14"/>
      <c r="K15" s="14"/>
      <c r="L15" s="14"/>
      <c r="M15" s="77"/>
      <c r="N15" s="26"/>
      <c r="O15" s="27"/>
      <c r="P15" s="11"/>
      <c r="Q15" s="98" t="s">
        <v>94</v>
      </c>
      <c r="R15" s="176">
        <f>Purchase_cost_LNG*(Increment+Inflation_rate)</f>
        <v>22.33</v>
      </c>
      <c r="S15" s="176">
        <f>Purchase_cost_LNG*(Increment+Inflation_rate)*(Increment+Inflation_rate)</f>
        <v>22.664949999999997</v>
      </c>
      <c r="T15" s="177">
        <f>Purchase_cost_LNG*(Increment+Inflation_rate)*(Increment+Inflation_rate)*(Increment+Inflation_rate)</f>
        <v>23.004924249999995</v>
      </c>
      <c r="U15" s="11"/>
      <c r="W15" s="11"/>
    </row>
    <row r="16" spans="1:24" ht="15.75" thickBot="1">
      <c r="A16" s="71">
        <f t="shared" si="0"/>
        <v>11</v>
      </c>
      <c r="B16" s="26">
        <f t="shared" si="1"/>
        <v>215158804.82509777</v>
      </c>
      <c r="C16" s="199">
        <f t="shared" si="2"/>
        <v>8606352.1930039115</v>
      </c>
      <c r="D16" s="27">
        <f t="shared" si="6"/>
        <v>15336542.290246988</v>
      </c>
      <c r="E16" s="26">
        <f t="shared" si="7"/>
        <v>-6730190.0972430762</v>
      </c>
      <c r="F16" s="78">
        <f t="shared" si="3"/>
        <v>208428614.7278547</v>
      </c>
      <c r="G16" s="11"/>
      <c r="H16" s="75">
        <f>H15+Increment</f>
        <v>2</v>
      </c>
      <c r="I16" s="178">
        <f>Tons_per_trip*'2a), 4) Inputs'!H7</f>
        <v>2616</v>
      </c>
      <c r="J16" s="199">
        <f>Price_per_ton*(Increment+Inflation_rate)^(H16-'2a), 4) Inputs'!$B$11)*I16</f>
        <v>994080</v>
      </c>
      <c r="K16" s="199">
        <f>Port_fee*(Increment+Inflation_rate)^(H16-'2a), 4) Inputs'!$B$11)*'2a), 4) Inputs'!H7</f>
        <v>23980000</v>
      </c>
      <c r="L16" s="199">
        <f>Operating_expense*(Increment+Inflation_rate)^(H16-'2a), 4) Inputs'!$B$11)*'2a), 4) Inputs'!H7</f>
        <v>4360000</v>
      </c>
      <c r="M16" s="93">
        <f>J16+K16+L16</f>
        <v>29334080</v>
      </c>
      <c r="N16" s="26"/>
      <c r="O16" s="27"/>
      <c r="P16" s="11"/>
      <c r="Q16" s="11"/>
      <c r="R16" s="11"/>
      <c r="S16" s="26"/>
      <c r="T16" s="26"/>
      <c r="W16" s="11"/>
    </row>
    <row r="17" spans="1:23">
      <c r="A17" s="71">
        <f t="shared" si="0"/>
        <v>12</v>
      </c>
      <c r="B17" s="26">
        <f t="shared" si="1"/>
        <v>208428614.7278547</v>
      </c>
      <c r="C17" s="199">
        <f t="shared" si="2"/>
        <v>8337144.5891141882</v>
      </c>
      <c r="D17" s="27">
        <f t="shared" si="6"/>
        <v>15336542.290246988</v>
      </c>
      <c r="E17" s="26">
        <f t="shared" si="7"/>
        <v>-6999397.7011327995</v>
      </c>
      <c r="F17" s="78">
        <f t="shared" si="3"/>
        <v>201429217.02672189</v>
      </c>
      <c r="G17" s="11"/>
      <c r="H17" s="75">
        <f>H16+Increment</f>
        <v>3</v>
      </c>
      <c r="I17" s="178">
        <f>Tons_per_trip*'2a), 4) Inputs'!H8</f>
        <v>2640</v>
      </c>
      <c r="J17" s="199">
        <f>Price_per_ton*(Increment+Inflation_rate)^(H17-'2a), 4) Inputs'!$B$11)*I17</f>
        <v>1018248</v>
      </c>
      <c r="K17" s="199">
        <f>Port_fee*(Increment+Inflation_rate)^(H17-'2a), 4) Inputs'!$B$11)*'2a), 4) Inputs'!H8</f>
        <v>24562999.999999996</v>
      </c>
      <c r="L17" s="199">
        <f>Operating_expense*(Increment+Inflation_rate)^(H17-'2a), 4) Inputs'!$B$11)*'2a), 4) Inputs'!H8</f>
        <v>4465999.9999999991</v>
      </c>
      <c r="M17" s="93">
        <f>J17+K17+L17</f>
        <v>30047247.999999996</v>
      </c>
      <c r="N17" s="26"/>
      <c r="O17" s="27"/>
      <c r="P17" s="11"/>
      <c r="Q17" s="111" t="s">
        <v>95</v>
      </c>
      <c r="R17" s="113"/>
      <c r="S17" s="26"/>
      <c r="T17" s="26"/>
      <c r="W17" s="11"/>
    </row>
    <row r="18" spans="1:23">
      <c r="A18" s="71">
        <f t="shared" si="0"/>
        <v>13</v>
      </c>
      <c r="B18" s="26">
        <f t="shared" si="1"/>
        <v>201429217.02672189</v>
      </c>
      <c r="C18" s="199">
        <f t="shared" si="2"/>
        <v>8057168.6810688758</v>
      </c>
      <c r="D18" s="27">
        <f t="shared" si="6"/>
        <v>15336542.290246988</v>
      </c>
      <c r="E18" s="26">
        <f t="shared" si="7"/>
        <v>-7279373.6091781119</v>
      </c>
      <c r="F18" s="78">
        <f t="shared" si="3"/>
        <v>194149843.41754377</v>
      </c>
      <c r="G18" s="11"/>
      <c r="H18" s="75">
        <f>H17+Increment</f>
        <v>4</v>
      </c>
      <c r="I18" s="178">
        <f>Tons_per_trip*'2a), 4) Inputs'!H9</f>
        <v>2664</v>
      </c>
      <c r="J18" s="199">
        <f>Price_per_ton*(Increment+Inflation_rate)^(H18-'2a), 4) Inputs'!$B$11)*I18</f>
        <v>1042917.3719999997</v>
      </c>
      <c r="K18" s="199">
        <f>Port_fee*(Increment+Inflation_rate)^(H18-'2a), 4) Inputs'!$B$11)*'2a), 4) Inputs'!H9</f>
        <v>25158094.499999993</v>
      </c>
      <c r="L18" s="199">
        <f>Operating_expense*(Increment+Inflation_rate)^(H18-'2a), 4) Inputs'!$B$11)*'2a), 4) Inputs'!H9</f>
        <v>4574198.9999999981</v>
      </c>
      <c r="M18" s="93">
        <f>J18+K18+L18</f>
        <v>30775210.871999994</v>
      </c>
      <c r="N18" s="26"/>
      <c r="O18" s="27"/>
      <c r="P18" s="11"/>
      <c r="Q18" s="81" t="s">
        <v>290</v>
      </c>
      <c r="R18" s="82" t="s">
        <v>175</v>
      </c>
      <c r="S18" s="26"/>
      <c r="T18" s="26"/>
      <c r="U18" s="11"/>
      <c r="V18" s="11"/>
    </row>
    <row r="19" spans="1:23" ht="15.75" thickBot="1">
      <c r="A19" s="71">
        <f t="shared" si="0"/>
        <v>14</v>
      </c>
      <c r="B19" s="26">
        <f t="shared" si="1"/>
        <v>194149843.41754377</v>
      </c>
      <c r="C19" s="199">
        <f t="shared" si="2"/>
        <v>7765993.7367017511</v>
      </c>
      <c r="D19" s="27">
        <f t="shared" si="6"/>
        <v>15336542.290246988</v>
      </c>
      <c r="E19" s="26">
        <f>C19-D19</f>
        <v>-7570548.5535452366</v>
      </c>
      <c r="F19" s="78">
        <f t="shared" si="3"/>
        <v>186579294.86399853</v>
      </c>
      <c r="G19" s="11"/>
      <c r="H19" s="76">
        <f>H18+Increment</f>
        <v>5</v>
      </c>
      <c r="I19" s="179">
        <f>Tons_per_trip*'2a), 4) Inputs'!H10</f>
        <v>2664</v>
      </c>
      <c r="J19" s="214">
        <f>Price_per_ton*(Increment+Inflation_rate)^(H19-'2a), 4) Inputs'!$B$11)*I19</f>
        <v>1058561.1325799997</v>
      </c>
      <c r="K19" s="214">
        <f>Port_fee*(Increment+Inflation_rate)^(H19-'2a), 4) Inputs'!$B$11)*'2a), 4) Inputs'!H10</f>
        <v>25535465.917499989</v>
      </c>
      <c r="L19" s="214">
        <f>Operating_expense*(Increment+Inflation_rate)^(H19-'2a), 4) Inputs'!$B$11)*'2a), 4) Inputs'!H10</f>
        <v>4642811.9849999985</v>
      </c>
      <c r="M19" s="251">
        <f>J19+K19+L19</f>
        <v>31236839.03507999</v>
      </c>
      <c r="N19" s="26"/>
      <c r="O19" s="27"/>
      <c r="Q19" s="95">
        <f>First_year</f>
        <v>1</v>
      </c>
      <c r="R19" s="215">
        <f>Depreciation_expense_Y1</f>
        <v>0</v>
      </c>
      <c r="V19" s="11"/>
    </row>
    <row r="20" spans="1:23">
      <c r="A20" s="71">
        <f t="shared" si="0"/>
        <v>15</v>
      </c>
      <c r="B20" s="26">
        <f t="shared" si="1"/>
        <v>186579294.86399853</v>
      </c>
      <c r="C20" s="199">
        <f t="shared" si="2"/>
        <v>7463171.7945599416</v>
      </c>
      <c r="D20" s="27">
        <f t="shared" si="6"/>
        <v>15336542.290246988</v>
      </c>
      <c r="E20" s="26">
        <f t="shared" si="7"/>
        <v>-7873370.4956870461</v>
      </c>
      <c r="F20" s="78">
        <f t="shared" si="3"/>
        <v>178705924.36831149</v>
      </c>
      <c r="G20" s="11"/>
      <c r="H20" s="11"/>
      <c r="I20" s="11"/>
      <c r="J20" s="11"/>
      <c r="K20" s="11"/>
      <c r="L20" s="11"/>
      <c r="M20" s="11"/>
      <c r="N20" s="26"/>
      <c r="O20" s="27"/>
      <c r="Q20" s="95">
        <f>Q19+Increment</f>
        <v>2</v>
      </c>
      <c r="R20" s="170">
        <f t="shared" ref="R20:R23" si="13">(Development_cost-Salvage_value)/Useful_life</f>
        <v>7666666.666666667</v>
      </c>
      <c r="V20" s="11"/>
    </row>
    <row r="21" spans="1:23" ht="15.75" thickBot="1">
      <c r="A21" s="71">
        <f t="shared" si="0"/>
        <v>16</v>
      </c>
      <c r="B21" s="26">
        <f t="shared" si="1"/>
        <v>178705924.36831149</v>
      </c>
      <c r="C21" s="199">
        <f t="shared" si="2"/>
        <v>7148236.9747324595</v>
      </c>
      <c r="D21" s="27">
        <f t="shared" si="6"/>
        <v>15336542.290246988</v>
      </c>
      <c r="E21" s="26">
        <f t="shared" si="7"/>
        <v>-8188305.3155145282</v>
      </c>
      <c r="F21" s="78">
        <f t="shared" si="3"/>
        <v>170517619.05279696</v>
      </c>
      <c r="G21" s="11"/>
      <c r="P21" s="11"/>
      <c r="Q21" s="95">
        <f>Q20+Increment</f>
        <v>3</v>
      </c>
      <c r="R21" s="170">
        <f t="shared" si="13"/>
        <v>7666666.666666667</v>
      </c>
      <c r="U21" s="11"/>
      <c r="V21" s="11"/>
    </row>
    <row r="22" spans="1:23">
      <c r="A22" s="71">
        <f t="shared" si="0"/>
        <v>17</v>
      </c>
      <c r="B22" s="26">
        <f t="shared" si="1"/>
        <v>170517619.05279696</v>
      </c>
      <c r="C22" s="199">
        <f t="shared" si="2"/>
        <v>6820704.762111879</v>
      </c>
      <c r="D22" s="27">
        <f t="shared" si="6"/>
        <v>15336542.290246988</v>
      </c>
      <c r="E22" s="26">
        <f t="shared" si="7"/>
        <v>-8515837.5281351097</v>
      </c>
      <c r="F22" s="78">
        <f t="shared" si="3"/>
        <v>162001781.52466184</v>
      </c>
      <c r="G22" s="11"/>
      <c r="H22" s="111" t="s">
        <v>283</v>
      </c>
      <c r="I22" s="112"/>
      <c r="J22" s="112"/>
      <c r="K22" s="112"/>
      <c r="L22" s="113"/>
      <c r="P22" s="11"/>
      <c r="Q22" s="95">
        <f>Q21+Increment</f>
        <v>4</v>
      </c>
      <c r="R22" s="170">
        <f t="shared" si="13"/>
        <v>7666666.666666667</v>
      </c>
      <c r="U22" s="11"/>
    </row>
    <row r="23" spans="1:23" ht="15.75" thickBot="1">
      <c r="A23" s="71">
        <f t="shared" si="0"/>
        <v>18</v>
      </c>
      <c r="B23" s="26">
        <f t="shared" si="1"/>
        <v>162001781.52466184</v>
      </c>
      <c r="C23" s="199">
        <f t="shared" si="2"/>
        <v>6480071.2609864734</v>
      </c>
      <c r="D23" s="27">
        <f t="shared" si="6"/>
        <v>15336542.290246988</v>
      </c>
      <c r="E23" s="26">
        <f t="shared" si="7"/>
        <v>-8856471.0292605143</v>
      </c>
      <c r="F23" s="78">
        <f t="shared" si="3"/>
        <v>153145310.49540132</v>
      </c>
      <c r="G23" s="11"/>
      <c r="H23" s="81" t="s">
        <v>0</v>
      </c>
      <c r="I23" s="18" t="s">
        <v>194</v>
      </c>
      <c r="J23" s="18" t="s">
        <v>86</v>
      </c>
      <c r="K23" s="18" t="s">
        <v>87</v>
      </c>
      <c r="L23" s="82" t="s">
        <v>88</v>
      </c>
      <c r="Q23" s="98">
        <f>Q22+Increment</f>
        <v>5</v>
      </c>
      <c r="R23" s="171">
        <f t="shared" si="13"/>
        <v>7666666.666666667</v>
      </c>
      <c r="S23" s="11"/>
      <c r="T23" s="11"/>
      <c r="U23" s="11"/>
    </row>
    <row r="24" spans="1:23" ht="15.75" customHeight="1">
      <c r="A24" s="71">
        <f t="shared" si="0"/>
        <v>19</v>
      </c>
      <c r="B24" s="26">
        <f t="shared" si="1"/>
        <v>153145310.49540132</v>
      </c>
      <c r="C24" s="199">
        <f t="shared" si="2"/>
        <v>6125812.4198160535</v>
      </c>
      <c r="D24" s="27">
        <f t="shared" si="6"/>
        <v>15336542.290246988</v>
      </c>
      <c r="E24" s="26">
        <f t="shared" si="7"/>
        <v>-9210729.8704309352</v>
      </c>
      <c r="F24" s="78">
        <f t="shared" si="3"/>
        <v>143934580.62497038</v>
      </c>
      <c r="G24" s="11"/>
      <c r="H24" s="71" t="s">
        <v>60</v>
      </c>
      <c r="I24" s="172">
        <f>Daily_demand_LNG_Y2*_xlfn.XLOOKUP(H24,'2a), 4) Inputs'!$J$5:$J$16,'2a), 4) Inputs'!$K$5:$K$16)</f>
        <v>2404462.6967830253</v>
      </c>
      <c r="J24" s="199">
        <f>I24*Selling_price_LNG_Y2</f>
        <v>67324955.50992471</v>
      </c>
      <c r="K24" s="199">
        <f t="shared" ref="K24:K35" si="14">I24*Purchase_cost_LNG</f>
        <v>52898179.329226553</v>
      </c>
      <c r="L24" s="78">
        <f t="shared" ref="L24:L35" si="15">J24-K24</f>
        <v>14426776.180698156</v>
      </c>
      <c r="Q24" s="11"/>
      <c r="R24" s="11"/>
    </row>
    <row r="25" spans="1:23" ht="15.75" customHeight="1">
      <c r="A25" s="71">
        <f t="shared" si="0"/>
        <v>20</v>
      </c>
      <c r="B25" s="26">
        <f t="shared" si="1"/>
        <v>143934580.62497038</v>
      </c>
      <c r="C25" s="199">
        <f t="shared" si="2"/>
        <v>5757383.224998815</v>
      </c>
      <c r="D25" s="27">
        <f t="shared" si="6"/>
        <v>15336542.290246988</v>
      </c>
      <c r="E25" s="26">
        <f t="shared" si="7"/>
        <v>-9579159.0652481727</v>
      </c>
      <c r="F25" s="78">
        <f t="shared" si="3"/>
        <v>134355421.55972221</v>
      </c>
      <c r="G25" s="11"/>
      <c r="H25" s="71" t="s">
        <v>61</v>
      </c>
      <c r="I25" s="172">
        <f>Daily_demand_LNG_Y2*_xlfn.XLOOKUP(H25,'2a), 4) Inputs'!$J$5:$J$16,'2a), 4) Inputs'!$K$5:$K$16)</f>
        <v>2191163.5865845312</v>
      </c>
      <c r="J25" s="199">
        <f t="shared" ref="J25:J35" si="16">I25*Selling_price_LNG_Y2</f>
        <v>61352580.424366876</v>
      </c>
      <c r="K25" s="199">
        <f t="shared" si="14"/>
        <v>48205598.904859684</v>
      </c>
      <c r="L25" s="78">
        <f t="shared" si="15"/>
        <v>13146981.519507192</v>
      </c>
      <c r="Q25" s="1" t="s">
        <v>96</v>
      </c>
      <c r="R25" s="5">
        <f>Quantity_demand_Y2/Days_in_year</f>
        <v>77563.312799452426</v>
      </c>
    </row>
    <row r="26" spans="1:23" ht="15.75" customHeight="1">
      <c r="A26" s="71">
        <f t="shared" si="0"/>
        <v>21</v>
      </c>
      <c r="B26" s="26">
        <f t="shared" si="1"/>
        <v>134355421.55972221</v>
      </c>
      <c r="C26" s="199">
        <f t="shared" si="2"/>
        <v>5374216.8623888884</v>
      </c>
      <c r="D26" s="27">
        <f t="shared" si="6"/>
        <v>15336542.290246988</v>
      </c>
      <c r="E26" s="26">
        <f t="shared" si="7"/>
        <v>-9962325.4278580993</v>
      </c>
      <c r="F26" s="78">
        <f t="shared" si="3"/>
        <v>124393096.13186412</v>
      </c>
      <c r="G26" s="11"/>
      <c r="H26" s="71" t="s">
        <v>62</v>
      </c>
      <c r="I26" s="172">
        <f>Daily_demand_LNG_Y2*_xlfn.XLOOKUP(H26,'2a), 4) Inputs'!$J$5:$J$16,'2a), 4) Inputs'!$K$5:$K$16)</f>
        <v>2404462.6967830253</v>
      </c>
      <c r="J26" s="199">
        <f t="shared" si="16"/>
        <v>67324955.50992471</v>
      </c>
      <c r="K26" s="199">
        <f t="shared" si="14"/>
        <v>52898179.329226553</v>
      </c>
      <c r="L26" s="78">
        <f t="shared" si="15"/>
        <v>14426776.180698156</v>
      </c>
      <c r="Q26" s="1" t="s">
        <v>97</v>
      </c>
      <c r="R26" s="7">
        <f>Price_per_ton*Tons_per_trip</f>
        <v>9120</v>
      </c>
    </row>
    <row r="27" spans="1:23" ht="15.75" customHeight="1">
      <c r="A27" s="71">
        <f t="shared" si="0"/>
        <v>22</v>
      </c>
      <c r="B27" s="26">
        <f t="shared" si="1"/>
        <v>124393096.13186412</v>
      </c>
      <c r="C27" s="199">
        <f t="shared" si="2"/>
        <v>4975723.8452745648</v>
      </c>
      <c r="D27" s="27">
        <f t="shared" si="6"/>
        <v>15336542.290246988</v>
      </c>
      <c r="E27" s="26">
        <f t="shared" si="7"/>
        <v>-10360818.444972422</v>
      </c>
      <c r="F27" s="78">
        <f t="shared" si="3"/>
        <v>114032277.68689169</v>
      </c>
      <c r="G27" s="11"/>
      <c r="H27" s="71" t="s">
        <v>63</v>
      </c>
      <c r="I27" s="172">
        <f>Daily_demand_LNG_Y2*_xlfn.XLOOKUP(H27,'2a), 4) Inputs'!$J$5:$J$16,'2a), 4) Inputs'!$K$5:$K$16)</f>
        <v>2326899.3839835729</v>
      </c>
      <c r="J27" s="199">
        <f t="shared" si="16"/>
        <v>65153182.751540042</v>
      </c>
      <c r="K27" s="199">
        <f t="shared" si="14"/>
        <v>51191786.447638601</v>
      </c>
      <c r="L27" s="78">
        <f t="shared" si="15"/>
        <v>13961396.303901441</v>
      </c>
    </row>
    <row r="28" spans="1:23" ht="15.75" customHeight="1">
      <c r="A28" s="71">
        <f t="shared" si="0"/>
        <v>23</v>
      </c>
      <c r="B28" s="26">
        <f t="shared" si="1"/>
        <v>114032277.68689169</v>
      </c>
      <c r="C28" s="199">
        <f t="shared" si="2"/>
        <v>4561291.1074756673</v>
      </c>
      <c r="D28" s="27">
        <f t="shared" si="6"/>
        <v>15336542.290246988</v>
      </c>
      <c r="E28" s="26">
        <f t="shared" si="7"/>
        <v>-10775251.182771321</v>
      </c>
      <c r="F28" s="78">
        <f t="shared" si="3"/>
        <v>103257026.50412036</v>
      </c>
      <c r="G28" s="11"/>
      <c r="H28" s="71" t="s">
        <v>65</v>
      </c>
      <c r="I28" s="172">
        <f>Daily_demand_LNG_Y2*_xlfn.XLOOKUP(H28,'2a), 4) Inputs'!$J$5:$J$16,'2a), 4) Inputs'!$K$5:$K$16)</f>
        <v>2404462.6967830253</v>
      </c>
      <c r="J28" s="199">
        <f t="shared" si="16"/>
        <v>67324955.50992471</v>
      </c>
      <c r="K28" s="199">
        <f t="shared" si="14"/>
        <v>52898179.329226553</v>
      </c>
      <c r="L28" s="78">
        <f t="shared" si="15"/>
        <v>14426776.180698156</v>
      </c>
    </row>
    <row r="29" spans="1:23" ht="15.75" customHeight="1">
      <c r="A29" s="71">
        <f t="shared" si="0"/>
        <v>24</v>
      </c>
      <c r="B29" s="26">
        <f t="shared" si="1"/>
        <v>103257026.50412036</v>
      </c>
      <c r="C29" s="199">
        <f t="shared" si="2"/>
        <v>4130281.0601648148</v>
      </c>
      <c r="D29" s="27">
        <f t="shared" si="6"/>
        <v>15336542.290246988</v>
      </c>
      <c r="E29" s="26">
        <f t="shared" si="7"/>
        <v>-11206261.230082173</v>
      </c>
      <c r="F29" s="78">
        <f t="shared" si="3"/>
        <v>92050765.274038196</v>
      </c>
      <c r="G29" s="11"/>
      <c r="H29" s="71" t="s">
        <v>66</v>
      </c>
      <c r="I29" s="172">
        <f>Daily_demand_LNG_Y2*_xlfn.XLOOKUP(H29,'2a), 4) Inputs'!$J$5:$J$16,'2a), 4) Inputs'!$K$5:$K$16)</f>
        <v>2326899.3839835729</v>
      </c>
      <c r="J29" s="199">
        <f t="shared" si="16"/>
        <v>65153182.751540042</v>
      </c>
      <c r="K29" s="199">
        <f t="shared" si="14"/>
        <v>51191786.447638601</v>
      </c>
      <c r="L29" s="78">
        <f t="shared" si="15"/>
        <v>13961396.303901441</v>
      </c>
      <c r="N29" s="26"/>
      <c r="O29" s="27"/>
    </row>
    <row r="30" spans="1:23" ht="15.75" customHeight="1">
      <c r="A30" s="71">
        <f t="shared" si="0"/>
        <v>25</v>
      </c>
      <c r="B30" s="26">
        <f t="shared" si="1"/>
        <v>92050765.274038196</v>
      </c>
      <c r="C30" s="199">
        <f t="shared" si="2"/>
        <v>3682030.610961528</v>
      </c>
      <c r="D30" s="27">
        <f t="shared" si="6"/>
        <v>15336542.290246988</v>
      </c>
      <c r="E30" s="26">
        <f t="shared" si="7"/>
        <v>-11654511.679285459</v>
      </c>
      <c r="F30" s="78">
        <f t="shared" si="3"/>
        <v>80396253.594752729</v>
      </c>
      <c r="G30" s="11"/>
      <c r="H30" s="71" t="s">
        <v>68</v>
      </c>
      <c r="I30" s="172">
        <f>Daily_demand_LNG_Y2*_xlfn.XLOOKUP(H30,'2a), 4) Inputs'!$J$5:$J$16,'2a), 4) Inputs'!$K$5:$K$16)</f>
        <v>2404462.6967830253</v>
      </c>
      <c r="J30" s="199">
        <f t="shared" si="16"/>
        <v>67324955.50992471</v>
      </c>
      <c r="K30" s="199">
        <f t="shared" si="14"/>
        <v>52898179.329226553</v>
      </c>
      <c r="L30" s="78">
        <f t="shared" si="15"/>
        <v>14426776.180698156</v>
      </c>
      <c r="N30" s="26"/>
    </row>
    <row r="31" spans="1:23" ht="15.75" customHeight="1">
      <c r="A31" s="71">
        <f t="shared" si="0"/>
        <v>26</v>
      </c>
      <c r="B31" s="26">
        <f t="shared" si="1"/>
        <v>80396253.594752729</v>
      </c>
      <c r="C31" s="199">
        <f t="shared" si="2"/>
        <v>3215850.1437901091</v>
      </c>
      <c r="D31" s="27">
        <f t="shared" si="6"/>
        <v>15336542.290246988</v>
      </c>
      <c r="E31" s="26">
        <f t="shared" si="7"/>
        <v>-12120692.146456879</v>
      </c>
      <c r="F31" s="78">
        <f t="shared" si="3"/>
        <v>68275561.448295847</v>
      </c>
      <c r="G31" s="11"/>
      <c r="H31" s="71" t="s">
        <v>70</v>
      </c>
      <c r="I31" s="172">
        <f>Daily_demand_LNG_Y2*_xlfn.XLOOKUP(H31,'2a), 4) Inputs'!$J$5:$J$16,'2a), 4) Inputs'!$K$5:$K$16)</f>
        <v>2404462.6967830253</v>
      </c>
      <c r="J31" s="199">
        <f t="shared" si="16"/>
        <v>67324955.50992471</v>
      </c>
      <c r="K31" s="199">
        <f t="shared" si="14"/>
        <v>52898179.329226553</v>
      </c>
      <c r="L31" s="78">
        <f t="shared" si="15"/>
        <v>14426776.180698156</v>
      </c>
      <c r="N31" s="26"/>
    </row>
    <row r="32" spans="1:23" ht="15.75" customHeight="1">
      <c r="A32" s="71">
        <f t="shared" si="0"/>
        <v>27</v>
      </c>
      <c r="B32" s="26">
        <f t="shared" si="1"/>
        <v>68275561.448295847</v>
      </c>
      <c r="C32" s="199">
        <f t="shared" si="2"/>
        <v>2731022.4579318338</v>
      </c>
      <c r="D32" s="27">
        <f t="shared" si="6"/>
        <v>15336542.290246988</v>
      </c>
      <c r="E32" s="26">
        <f t="shared" si="7"/>
        <v>-12605519.832315154</v>
      </c>
      <c r="F32" s="78">
        <f t="shared" si="3"/>
        <v>55670041.615980692</v>
      </c>
      <c r="G32" s="11"/>
      <c r="H32" s="71" t="s">
        <v>71</v>
      </c>
      <c r="I32" s="172">
        <f>Daily_demand_LNG_Y2*_xlfn.XLOOKUP(H32,'2a), 4) Inputs'!$J$5:$J$16,'2a), 4) Inputs'!$K$5:$K$16)</f>
        <v>2326899.3839835729</v>
      </c>
      <c r="J32" s="199">
        <f t="shared" si="16"/>
        <v>65153182.751540042</v>
      </c>
      <c r="K32" s="199">
        <f t="shared" si="14"/>
        <v>51191786.447638601</v>
      </c>
      <c r="L32" s="78">
        <f t="shared" si="15"/>
        <v>13961396.303901441</v>
      </c>
      <c r="N32" s="26"/>
    </row>
    <row r="33" spans="1:22" ht="15.75" customHeight="1">
      <c r="A33" s="71">
        <f t="shared" si="0"/>
        <v>28</v>
      </c>
      <c r="B33" s="26">
        <f t="shared" si="1"/>
        <v>55670041.615980692</v>
      </c>
      <c r="C33" s="199">
        <f t="shared" si="2"/>
        <v>2226801.6646392276</v>
      </c>
      <c r="D33" s="27">
        <f t="shared" si="6"/>
        <v>15336542.290246988</v>
      </c>
      <c r="E33" s="26">
        <f t="shared" si="7"/>
        <v>-13109740.625607761</v>
      </c>
      <c r="F33" s="78">
        <f t="shared" si="3"/>
        <v>42560300.990372933</v>
      </c>
      <c r="G33" s="11"/>
      <c r="H33" s="71" t="s">
        <v>72</v>
      </c>
      <c r="I33" s="172">
        <f>Daily_demand_LNG_Y2*_xlfn.XLOOKUP(H33,'2a), 4) Inputs'!$J$5:$J$16,'2a), 4) Inputs'!$K$5:$K$16)</f>
        <v>2404462.6967830253</v>
      </c>
      <c r="J33" s="199">
        <f t="shared" si="16"/>
        <v>67324955.50992471</v>
      </c>
      <c r="K33" s="199">
        <f t="shared" si="14"/>
        <v>52898179.329226553</v>
      </c>
      <c r="L33" s="78">
        <f t="shared" si="15"/>
        <v>14426776.180698156</v>
      </c>
      <c r="N33" s="26"/>
    </row>
    <row r="34" spans="1:22" ht="15.75" customHeight="1">
      <c r="A34" s="71">
        <f t="shared" si="0"/>
        <v>29</v>
      </c>
      <c r="B34" s="26">
        <f t="shared" si="1"/>
        <v>42560300.990372933</v>
      </c>
      <c r="C34" s="199">
        <f t="shared" si="2"/>
        <v>1702412.0396149175</v>
      </c>
      <c r="D34" s="27">
        <f t="shared" si="6"/>
        <v>15336542.290246988</v>
      </c>
      <c r="E34" s="26">
        <f t="shared" si="7"/>
        <v>-13634130.25063207</v>
      </c>
      <c r="F34" s="78">
        <f t="shared" si="3"/>
        <v>28926170.739740863</v>
      </c>
      <c r="G34" s="11"/>
      <c r="H34" s="71" t="s">
        <v>73</v>
      </c>
      <c r="I34" s="172">
        <f>Daily_demand_LNG_Y2*_xlfn.XLOOKUP(H34,'2a), 4) Inputs'!$J$5:$J$16,'2a), 4) Inputs'!$K$5:$K$16)</f>
        <v>2326899.3839835729</v>
      </c>
      <c r="J34" s="199">
        <f t="shared" si="16"/>
        <v>65153182.751540042</v>
      </c>
      <c r="K34" s="199">
        <f t="shared" si="14"/>
        <v>51191786.447638601</v>
      </c>
      <c r="L34" s="78">
        <f t="shared" si="15"/>
        <v>13961396.303901441</v>
      </c>
      <c r="N34" s="26"/>
    </row>
    <row r="35" spans="1:22" ht="15.75" customHeight="1" thickBot="1">
      <c r="A35" s="71">
        <f t="shared" si="0"/>
        <v>30</v>
      </c>
      <c r="B35" s="26">
        <f t="shared" si="1"/>
        <v>28926170.739740863</v>
      </c>
      <c r="C35" s="199">
        <f t="shared" si="2"/>
        <v>1157046.8295896347</v>
      </c>
      <c r="D35" s="27">
        <f t="shared" si="6"/>
        <v>15336542.290246988</v>
      </c>
      <c r="E35" s="26">
        <f t="shared" si="7"/>
        <v>-14179495.460657353</v>
      </c>
      <c r="F35" s="78">
        <f t="shared" si="3"/>
        <v>14746675.279083511</v>
      </c>
      <c r="G35" s="11"/>
      <c r="H35" s="72" t="s">
        <v>74</v>
      </c>
      <c r="I35" s="173">
        <f>Daily_demand_LNG_Y2*_xlfn.XLOOKUP(H35,'2a), 4) Inputs'!$J$5:$J$16,'2a), 4) Inputs'!$K$5:$K$16)</f>
        <v>2404462.6967830253</v>
      </c>
      <c r="J35" s="214">
        <f t="shared" si="16"/>
        <v>67324955.50992471</v>
      </c>
      <c r="K35" s="214">
        <f t="shared" si="14"/>
        <v>52898179.329226553</v>
      </c>
      <c r="L35" s="80">
        <f t="shared" si="15"/>
        <v>14426776.180698156</v>
      </c>
      <c r="N35" s="26"/>
      <c r="O35" s="11"/>
      <c r="P35" s="11"/>
      <c r="R35" s="26"/>
      <c r="S35" s="26"/>
      <c r="T35" s="26"/>
      <c r="U35" s="26"/>
      <c r="V35" s="26"/>
    </row>
    <row r="36" spans="1:22" ht="15.75" customHeight="1" thickBot="1">
      <c r="A36" s="72">
        <f t="shared" si="0"/>
        <v>31</v>
      </c>
      <c r="B36" s="79">
        <f t="shared" si="1"/>
        <v>14746675.279083511</v>
      </c>
      <c r="C36" s="214">
        <f t="shared" si="2"/>
        <v>589867.01116334042</v>
      </c>
      <c r="D36" s="169">
        <f t="shared" si="6"/>
        <v>15336542.290246988</v>
      </c>
      <c r="E36" s="79">
        <f t="shared" si="7"/>
        <v>-14746675.279083647</v>
      </c>
      <c r="F36" s="80">
        <f>E36+B36</f>
        <v>-1.3597309589385986E-7</v>
      </c>
      <c r="G36" s="11"/>
      <c r="M36" s="26"/>
      <c r="N36" s="26"/>
      <c r="O36" s="27"/>
      <c r="U36" s="26"/>
      <c r="V36" s="26"/>
    </row>
    <row r="37" spans="1:22" ht="15.75" customHeight="1">
      <c r="A37" s="11"/>
      <c r="B37" s="11"/>
      <c r="C37" s="11"/>
      <c r="D37" s="11"/>
      <c r="E37" s="11"/>
      <c r="F37" s="11"/>
      <c r="H37" s="11"/>
      <c r="I37" s="11"/>
      <c r="J37" s="11"/>
      <c r="K37" s="11"/>
      <c r="L37" s="11"/>
      <c r="M37" s="11"/>
      <c r="N37" s="11"/>
      <c r="O37" s="11"/>
      <c r="P37" s="11"/>
      <c r="U37" s="26"/>
      <c r="V37" s="26"/>
    </row>
    <row r="38" spans="1:22" ht="15.75" customHeight="1">
      <c r="G38" s="11"/>
      <c r="L38" s="11"/>
      <c r="P38" s="11"/>
      <c r="U38" s="26"/>
      <c r="V38" s="26"/>
    </row>
    <row r="39" spans="1:22" ht="15.75" customHeight="1">
      <c r="G39" s="11"/>
      <c r="L39" s="11"/>
      <c r="P39" s="11"/>
      <c r="U39" s="26"/>
      <c r="V39" s="26"/>
    </row>
    <row r="40" spans="1:22" ht="15.75" customHeight="1">
      <c r="G40" s="11"/>
      <c r="L40" s="11"/>
      <c r="P40" s="11"/>
      <c r="U40" s="26"/>
      <c r="V40" s="26"/>
    </row>
    <row r="41" spans="1:22" ht="15.75" customHeight="1">
      <c r="E41" s="27"/>
      <c r="G41" s="11"/>
      <c r="L41" s="11"/>
      <c r="P41" s="11"/>
      <c r="U41" s="26"/>
      <c r="V41" s="26"/>
    </row>
    <row r="42" spans="1:22" ht="15.75" customHeight="1">
      <c r="E42" s="27"/>
      <c r="G42" s="11"/>
      <c r="L42" s="11"/>
      <c r="P42" s="11"/>
      <c r="U42" s="26"/>
      <c r="V42" s="26"/>
    </row>
    <row r="43" spans="1:22" ht="15.75" customHeight="1">
      <c r="E43" s="27"/>
      <c r="G43" s="11"/>
      <c r="L43" s="11"/>
      <c r="P43" s="11"/>
      <c r="U43" s="26"/>
      <c r="V43" s="26"/>
    </row>
    <row r="44" spans="1:22" ht="15.75" customHeight="1">
      <c r="A44" s="11"/>
      <c r="B44" s="11"/>
      <c r="C44" s="11"/>
      <c r="E44" s="27"/>
      <c r="F44" s="11"/>
      <c r="G44" s="11"/>
      <c r="H44" s="11"/>
      <c r="I44" s="11"/>
      <c r="J44" s="11"/>
      <c r="K44" s="11"/>
      <c r="L44" s="11"/>
      <c r="M44" s="11"/>
      <c r="N44" s="11"/>
      <c r="P44" s="11"/>
      <c r="U44" s="26"/>
      <c r="V44" s="26"/>
    </row>
    <row r="45" spans="1:22" ht="15.75" customHeight="1">
      <c r="A45" s="94"/>
      <c r="B45" s="9"/>
      <c r="C45" s="26"/>
      <c r="E45" s="26"/>
      <c r="G45" s="11"/>
      <c r="H45" s="9"/>
      <c r="I45" s="26"/>
      <c r="J45" s="26"/>
      <c r="K45" s="26"/>
      <c r="L45" s="11"/>
      <c r="M45" s="11"/>
      <c r="N45" s="26"/>
      <c r="P45" s="11"/>
      <c r="U45" s="26"/>
      <c r="V45" s="26"/>
    </row>
    <row r="46" spans="1:22" ht="15.75" customHeight="1">
      <c r="A46" s="94"/>
      <c r="B46" s="9"/>
      <c r="C46" s="26"/>
      <c r="E46" s="26"/>
      <c r="G46" s="11"/>
      <c r="H46" s="9"/>
      <c r="I46" s="26"/>
      <c r="J46" s="26"/>
      <c r="K46" s="26"/>
      <c r="L46" s="11"/>
      <c r="M46" s="11"/>
      <c r="N46" s="26"/>
      <c r="P46" s="11"/>
      <c r="U46" s="26"/>
      <c r="V46" s="26"/>
    </row>
    <row r="47" spans="1:22" ht="15.75" customHeight="1">
      <c r="A47" s="94"/>
      <c r="B47" s="9"/>
      <c r="C47" s="26"/>
      <c r="E47" s="26"/>
      <c r="G47" s="11"/>
      <c r="H47" s="9"/>
      <c r="I47" s="26"/>
      <c r="J47" s="26"/>
      <c r="K47" s="26"/>
      <c r="L47" s="11"/>
      <c r="M47" s="11"/>
      <c r="N47" s="26"/>
      <c r="P47" s="11"/>
      <c r="U47" s="26"/>
      <c r="V47" s="26"/>
    </row>
    <row r="48" spans="1:22" ht="15.75" customHeight="1">
      <c r="A48" s="94"/>
      <c r="B48" s="9"/>
      <c r="C48" s="26"/>
      <c r="D48" s="26"/>
      <c r="E48" s="26"/>
      <c r="G48" s="11"/>
      <c r="H48" s="9"/>
      <c r="I48" s="26"/>
      <c r="J48" s="26"/>
      <c r="K48" s="27"/>
      <c r="L48" s="11"/>
      <c r="M48" s="11"/>
      <c r="N48" s="26"/>
      <c r="P48" s="11"/>
      <c r="U48" s="26"/>
      <c r="V48" s="26"/>
    </row>
    <row r="49" spans="1:22" ht="15.75" customHeight="1">
      <c r="A49" s="94"/>
      <c r="B49" s="9"/>
      <c r="C49" s="26"/>
      <c r="D49" s="26"/>
      <c r="E49" s="26"/>
      <c r="F49" s="27"/>
      <c r="G49" s="11"/>
      <c r="H49" s="9"/>
      <c r="I49" s="26"/>
      <c r="J49" s="26"/>
      <c r="K49" s="27"/>
      <c r="L49" s="11"/>
      <c r="M49" s="11"/>
      <c r="N49" s="26"/>
      <c r="P49" s="11"/>
      <c r="U49" s="26"/>
      <c r="V49" s="26"/>
    </row>
    <row r="50" spans="1:22" ht="15.75" customHeight="1">
      <c r="A50" s="94"/>
      <c r="B50" s="9"/>
      <c r="C50" s="26"/>
      <c r="D50" s="26"/>
      <c r="E50" s="26"/>
      <c r="F50" s="27"/>
      <c r="G50" s="11"/>
      <c r="H50" s="9"/>
      <c r="I50" s="26"/>
      <c r="J50" s="26"/>
      <c r="K50" s="27"/>
      <c r="L50" s="11"/>
      <c r="M50" s="11"/>
      <c r="N50" s="26"/>
      <c r="P50" s="11"/>
      <c r="U50" s="26"/>
      <c r="V50" s="26"/>
    </row>
    <row r="51" spans="1:22" ht="15.75" customHeight="1">
      <c r="A51" s="94"/>
      <c r="B51" s="9"/>
      <c r="C51" s="26"/>
      <c r="D51" s="26"/>
      <c r="E51" s="26"/>
      <c r="F51" s="27"/>
      <c r="G51" s="11"/>
      <c r="H51" s="9"/>
      <c r="I51" s="26"/>
      <c r="J51" s="26"/>
      <c r="K51" s="27"/>
      <c r="L51" s="11"/>
      <c r="M51" s="11"/>
      <c r="N51" s="26"/>
      <c r="P51" s="11"/>
      <c r="Q51" s="11"/>
      <c r="R51" s="26"/>
      <c r="S51" s="11"/>
    </row>
    <row r="52" spans="1:22" ht="15.75" customHeight="1">
      <c r="A52" s="94"/>
      <c r="B52" s="9"/>
      <c r="C52" s="26"/>
      <c r="D52" s="26"/>
      <c r="E52" s="26"/>
      <c r="F52" s="27"/>
      <c r="G52" s="11"/>
      <c r="H52" s="9"/>
      <c r="I52" s="26"/>
      <c r="J52" s="26"/>
      <c r="K52" s="27"/>
      <c r="L52" s="11"/>
      <c r="M52" s="11"/>
      <c r="N52" s="26"/>
      <c r="O52" s="16"/>
      <c r="P52" s="16"/>
      <c r="Q52" s="11"/>
      <c r="R52" s="26"/>
      <c r="S52" s="11"/>
    </row>
    <row r="53" spans="1:22" ht="15.75" customHeight="1">
      <c r="A53" s="94"/>
      <c r="B53" s="9"/>
      <c r="C53" s="26"/>
      <c r="D53" s="26"/>
      <c r="E53" s="26"/>
      <c r="F53" s="27"/>
      <c r="G53" s="11"/>
      <c r="H53" s="9"/>
      <c r="I53" s="26"/>
      <c r="J53" s="26"/>
      <c r="K53" s="27"/>
      <c r="L53" s="11"/>
      <c r="M53" s="11"/>
      <c r="N53" s="26"/>
      <c r="O53" s="16"/>
      <c r="P53" s="16"/>
      <c r="Q53" s="11"/>
      <c r="R53" s="26"/>
      <c r="S53" s="11"/>
    </row>
    <row r="54" spans="1:22" ht="15.75" customHeight="1">
      <c r="A54" s="94"/>
      <c r="B54" s="9"/>
      <c r="C54" s="26"/>
      <c r="D54" s="26"/>
      <c r="E54" s="26"/>
      <c r="F54" s="27"/>
      <c r="G54" s="11"/>
      <c r="H54" s="9"/>
      <c r="I54" s="26"/>
      <c r="J54" s="26"/>
      <c r="K54" s="27"/>
      <c r="L54" s="11"/>
      <c r="M54" s="11"/>
      <c r="N54" s="26"/>
      <c r="O54" s="16"/>
      <c r="P54" s="16"/>
      <c r="Q54" s="11"/>
      <c r="R54" s="26"/>
      <c r="S54" s="11"/>
    </row>
    <row r="55" spans="1:22" ht="15.75" customHeight="1">
      <c r="A55" s="94"/>
      <c r="B55" s="9"/>
      <c r="C55" s="26"/>
      <c r="D55" s="26"/>
      <c r="E55" s="26"/>
      <c r="F55" s="27"/>
      <c r="G55" s="11"/>
      <c r="H55" s="9"/>
      <c r="I55" s="26"/>
      <c r="J55" s="26"/>
      <c r="K55" s="27"/>
      <c r="L55" s="11"/>
      <c r="M55" s="11"/>
      <c r="N55" s="26"/>
      <c r="O55" s="16"/>
      <c r="P55" s="16"/>
      <c r="Q55" s="11"/>
      <c r="R55" s="26"/>
      <c r="S55" s="11"/>
    </row>
    <row r="56" spans="1:22" ht="15.75" customHeight="1">
      <c r="A56" s="94"/>
      <c r="B56" s="9"/>
      <c r="C56" s="26"/>
      <c r="D56" s="26"/>
      <c r="E56" s="26"/>
      <c r="F56" s="27"/>
      <c r="G56" s="11"/>
      <c r="H56" s="9"/>
      <c r="I56" s="26"/>
      <c r="J56" s="26"/>
      <c r="K56" s="27"/>
      <c r="L56" s="11"/>
      <c r="M56" s="11"/>
      <c r="N56" s="26"/>
      <c r="O56" s="16"/>
      <c r="P56" s="16"/>
      <c r="Q56" s="11"/>
      <c r="R56" s="26"/>
      <c r="S56" s="11"/>
    </row>
    <row r="57" spans="1:22" ht="15.75" customHeight="1">
      <c r="A57" s="94"/>
      <c r="B57" s="9"/>
      <c r="C57" s="26"/>
      <c r="D57" s="26"/>
      <c r="E57" s="26"/>
      <c r="F57" s="27"/>
      <c r="G57" s="11"/>
      <c r="H57" s="9"/>
      <c r="I57" s="26"/>
      <c r="J57" s="26"/>
      <c r="K57" s="27"/>
      <c r="L57" s="11"/>
      <c r="M57" s="11"/>
      <c r="N57" s="26"/>
      <c r="O57" s="16"/>
      <c r="P57" s="16"/>
      <c r="Q57" s="11"/>
      <c r="R57" s="26"/>
      <c r="S57" s="11"/>
    </row>
    <row r="58" spans="1:22" ht="15.75" customHeight="1">
      <c r="A58" s="94"/>
      <c r="B58" s="9"/>
      <c r="C58" s="26"/>
      <c r="D58" s="26"/>
      <c r="E58" s="26"/>
      <c r="F58" s="27"/>
      <c r="G58" s="11"/>
      <c r="H58" s="9"/>
      <c r="I58" s="26"/>
      <c r="J58" s="26"/>
      <c r="K58" s="27"/>
      <c r="L58" s="11"/>
      <c r="M58" s="11"/>
      <c r="N58" s="26"/>
      <c r="O58" s="16"/>
      <c r="P58" s="16"/>
      <c r="Q58" s="11"/>
      <c r="R58" s="26"/>
      <c r="S58" s="11"/>
    </row>
    <row r="59" spans="1:22" ht="15.75" customHeight="1">
      <c r="A59" s="94"/>
      <c r="B59" s="9"/>
      <c r="C59" s="26"/>
      <c r="D59" s="26"/>
      <c r="E59" s="26"/>
      <c r="F59" s="27"/>
      <c r="G59" s="11"/>
      <c r="H59" s="9"/>
      <c r="I59" s="26"/>
      <c r="J59" s="26"/>
      <c r="K59" s="27"/>
      <c r="L59" s="11"/>
      <c r="M59" s="11"/>
      <c r="N59" s="26"/>
      <c r="O59" s="16"/>
      <c r="P59" s="16"/>
      <c r="Q59" s="11"/>
      <c r="R59" s="26"/>
      <c r="S59" s="11"/>
    </row>
    <row r="60" spans="1:22" ht="15.75" customHeight="1">
      <c r="A60" s="94"/>
      <c r="B60" s="9"/>
      <c r="C60" s="26"/>
      <c r="D60" s="26"/>
      <c r="E60" s="26"/>
      <c r="F60" s="27"/>
      <c r="G60" s="11"/>
      <c r="H60" s="9"/>
      <c r="I60" s="26"/>
      <c r="J60" s="26"/>
      <c r="K60" s="27"/>
      <c r="L60" s="11"/>
      <c r="M60" s="11"/>
      <c r="N60" s="26"/>
      <c r="O60" s="16"/>
      <c r="P60" s="16"/>
      <c r="Q60" s="11"/>
      <c r="R60" s="26"/>
      <c r="S60" s="11"/>
    </row>
    <row r="61" spans="1:22" ht="15.75" customHeight="1">
      <c r="A61" s="94"/>
      <c r="B61" s="9"/>
      <c r="C61" s="26"/>
      <c r="D61" s="26"/>
      <c r="E61" s="26"/>
      <c r="F61" s="27"/>
      <c r="G61" s="11"/>
      <c r="H61" s="9"/>
      <c r="I61" s="26"/>
      <c r="J61" s="26"/>
      <c r="K61" s="27"/>
      <c r="L61" s="11"/>
      <c r="M61" s="11"/>
      <c r="N61" s="26"/>
      <c r="O61" s="16"/>
      <c r="P61" s="16"/>
      <c r="Q61" s="11"/>
      <c r="R61" s="26"/>
      <c r="S61" s="11"/>
    </row>
    <row r="62" spans="1:22" ht="15.75" customHeight="1">
      <c r="A62" s="94"/>
      <c r="B62" s="9"/>
      <c r="C62" s="26"/>
      <c r="D62" s="26"/>
      <c r="E62" s="26"/>
      <c r="F62" s="27"/>
      <c r="G62" s="11"/>
      <c r="H62" s="9"/>
      <c r="I62" s="26"/>
      <c r="J62" s="26"/>
      <c r="K62" s="27"/>
      <c r="L62" s="11"/>
      <c r="M62" s="11"/>
      <c r="N62" s="26"/>
      <c r="O62" s="16"/>
      <c r="P62" s="16"/>
      <c r="Q62" s="11"/>
      <c r="R62" s="26"/>
      <c r="S62" s="11"/>
    </row>
    <row r="63" spans="1:22" ht="15.75" customHeight="1">
      <c r="A63" s="94"/>
      <c r="B63" s="9"/>
      <c r="C63" s="26"/>
      <c r="D63" s="26"/>
      <c r="E63" s="26"/>
      <c r="F63" s="27"/>
      <c r="G63" s="11"/>
      <c r="H63" s="9"/>
      <c r="I63" s="26"/>
      <c r="J63" s="26"/>
      <c r="K63" s="27"/>
      <c r="L63" s="11"/>
      <c r="M63" s="11"/>
      <c r="N63" s="26"/>
      <c r="O63" s="16"/>
      <c r="P63" s="16"/>
      <c r="Q63" s="11"/>
      <c r="R63" s="26"/>
      <c r="S63" s="11"/>
    </row>
    <row r="64" spans="1:22" ht="15.75" customHeight="1">
      <c r="A64" s="94"/>
      <c r="B64" s="9"/>
      <c r="C64" s="26"/>
      <c r="D64" s="26"/>
      <c r="E64" s="26"/>
      <c r="F64" s="27"/>
      <c r="G64" s="11"/>
      <c r="H64" s="9"/>
      <c r="I64" s="26"/>
      <c r="J64" s="26"/>
      <c r="K64" s="27"/>
      <c r="L64" s="11"/>
      <c r="M64" s="11"/>
      <c r="N64" s="26"/>
      <c r="O64" s="16"/>
      <c r="P64" s="16"/>
      <c r="Q64" s="11"/>
      <c r="R64" s="26"/>
      <c r="S64" s="11"/>
    </row>
    <row r="65" spans="1:19" ht="15.75" customHeight="1">
      <c r="A65" s="94"/>
      <c r="B65" s="9"/>
      <c r="C65" s="26"/>
      <c r="D65" s="26"/>
      <c r="E65" s="26"/>
      <c r="F65" s="27"/>
      <c r="G65" s="11"/>
      <c r="H65" s="9"/>
      <c r="I65" s="26"/>
      <c r="J65" s="26"/>
      <c r="K65" s="27"/>
      <c r="L65" s="11"/>
      <c r="M65" s="11"/>
      <c r="N65" s="26"/>
      <c r="O65" s="16"/>
      <c r="P65" s="16"/>
      <c r="Q65" s="11"/>
      <c r="R65" s="26"/>
      <c r="S65" s="11"/>
    </row>
    <row r="66" spans="1:19" ht="15.75" customHeight="1">
      <c r="A66" s="94"/>
      <c r="B66" s="9"/>
      <c r="C66" s="26"/>
      <c r="D66" s="26"/>
      <c r="E66" s="26"/>
      <c r="F66" s="27"/>
      <c r="G66" s="11"/>
      <c r="H66" s="9"/>
      <c r="I66" s="26"/>
      <c r="J66" s="26"/>
      <c r="K66" s="27"/>
      <c r="L66" s="11"/>
      <c r="M66" s="11"/>
      <c r="N66" s="26"/>
      <c r="O66" s="16"/>
      <c r="P66" s="16"/>
      <c r="Q66" s="11"/>
      <c r="R66" s="26"/>
      <c r="S66" s="11"/>
    </row>
    <row r="67" spans="1:19" ht="15.75" customHeight="1">
      <c r="A67" s="94"/>
      <c r="B67" s="9"/>
      <c r="C67" s="26"/>
      <c r="D67" s="26"/>
      <c r="E67" s="26"/>
      <c r="F67" s="27"/>
      <c r="G67" s="11"/>
      <c r="H67" s="9"/>
      <c r="I67" s="26"/>
      <c r="J67" s="26"/>
      <c r="K67" s="27"/>
      <c r="L67" s="11"/>
      <c r="M67" s="11"/>
      <c r="N67" s="26"/>
      <c r="O67" s="16"/>
      <c r="P67" s="16"/>
      <c r="Q67" s="11"/>
      <c r="R67" s="26"/>
      <c r="S67" s="11"/>
    </row>
    <row r="68" spans="1:19" ht="15.75" customHeight="1">
      <c r="A68" s="94"/>
      <c r="B68" s="9"/>
      <c r="C68" s="26"/>
      <c r="D68" s="26"/>
      <c r="E68" s="26"/>
      <c r="F68" s="27"/>
      <c r="G68" s="11"/>
      <c r="H68" s="9"/>
      <c r="I68" s="26"/>
      <c r="J68" s="26"/>
      <c r="K68" s="27"/>
      <c r="L68" s="11"/>
      <c r="M68" s="11"/>
      <c r="N68" s="26"/>
      <c r="O68" s="16"/>
      <c r="P68" s="16"/>
      <c r="Q68" s="11"/>
      <c r="R68" s="26"/>
      <c r="S68" s="11"/>
    </row>
    <row r="69" spans="1:19" ht="15.75" customHeight="1">
      <c r="A69" s="94"/>
      <c r="B69" s="9"/>
      <c r="C69" s="26"/>
      <c r="D69" s="26"/>
      <c r="E69" s="26"/>
      <c r="F69" s="27"/>
      <c r="G69" s="11"/>
      <c r="H69" s="9"/>
      <c r="I69" s="26"/>
      <c r="J69" s="26"/>
      <c r="K69" s="27"/>
      <c r="L69" s="11"/>
      <c r="M69" s="11"/>
      <c r="N69" s="26"/>
      <c r="O69" s="16"/>
      <c r="P69" s="16"/>
      <c r="Q69" s="11"/>
      <c r="R69" s="11"/>
    </row>
    <row r="70" spans="1:19" ht="15.75" customHeight="1">
      <c r="A70" s="94"/>
      <c r="B70" s="9"/>
      <c r="C70" s="26"/>
      <c r="D70" s="26"/>
      <c r="E70" s="26"/>
      <c r="F70" s="27"/>
      <c r="G70" s="11"/>
      <c r="H70" s="9"/>
      <c r="I70" s="26"/>
      <c r="J70" s="26"/>
      <c r="K70" s="27"/>
      <c r="L70" s="11"/>
      <c r="M70" s="11"/>
      <c r="N70" s="26"/>
      <c r="O70" s="16"/>
      <c r="P70" s="16"/>
      <c r="Q70" s="11"/>
    </row>
    <row r="71" spans="1:19" ht="15.75" customHeight="1">
      <c r="A71" s="11"/>
      <c r="B71" s="11"/>
      <c r="C71" s="11"/>
      <c r="D71" s="11"/>
      <c r="E71" s="11"/>
      <c r="F71" s="11"/>
      <c r="H71" s="11"/>
      <c r="I71" s="11"/>
      <c r="J71" s="11"/>
      <c r="K71" s="11"/>
      <c r="L71" s="11"/>
      <c r="M71" s="11"/>
      <c r="N71" s="11"/>
      <c r="O71" s="10"/>
      <c r="P71" s="70"/>
      <c r="Q71" s="11"/>
    </row>
    <row r="72" spans="1:19" ht="15.75" customHeight="1">
      <c r="M72" s="11"/>
      <c r="N72" s="11"/>
      <c r="O72" s="11"/>
      <c r="P72" s="11"/>
    </row>
    <row r="73" spans="1:19" ht="15.75" customHeight="1"/>
    <row r="74" spans="1:19" ht="15.75" customHeight="1"/>
    <row r="75" spans="1:19" ht="15.75" customHeight="1"/>
    <row r="76" spans="1:19" ht="15.75" customHeight="1"/>
    <row r="77" spans="1:19" ht="15.75" customHeight="1"/>
    <row r="78" spans="1:19" ht="15.75" customHeight="1"/>
    <row r="79" spans="1:19" ht="15.75" customHeight="1"/>
    <row r="80" spans="1:1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conditionalFormatting sqref="P71">
    <cfRule type="cellIs" dxfId="2" priority="1" operator="greaterThan">
      <formula>0</formula>
    </cfRule>
  </conditionalFormatting>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37"/>
  <sheetViews>
    <sheetView zoomScale="85" zoomScaleNormal="85" workbookViewId="0">
      <selection activeCell="F54" sqref="F54"/>
    </sheetView>
  </sheetViews>
  <sheetFormatPr defaultColWidth="12.7109375" defaultRowHeight="15" customHeight="1"/>
  <cols>
    <col min="1" max="1" width="33.5703125" style="2" bestFit="1" customWidth="1"/>
    <col min="2" max="17" width="12.42578125" style="2" bestFit="1" customWidth="1"/>
    <col min="18" max="25" width="13.42578125" style="2" bestFit="1" customWidth="1"/>
    <col min="26" max="26" width="16.28515625" style="2" bestFit="1" customWidth="1"/>
    <col min="27" max="16384" width="12.7109375" style="2"/>
  </cols>
  <sheetData>
    <row r="1" spans="1:26" ht="17.25">
      <c r="A1" s="182" t="s">
        <v>207</v>
      </c>
    </row>
    <row r="2" spans="1:26">
      <c r="A2" s="2" t="s">
        <v>101</v>
      </c>
    </row>
    <row r="3" spans="1:26">
      <c r="A3" s="54" t="s">
        <v>102</v>
      </c>
    </row>
    <row r="4" spans="1:26">
      <c r="A4" s="11"/>
      <c r="B4" s="11"/>
      <c r="N4" s="11"/>
    </row>
    <row r="5" spans="1:26">
      <c r="A5" s="11"/>
      <c r="B5" s="194" t="s">
        <v>103</v>
      </c>
      <c r="C5" s="11"/>
      <c r="M5" s="11"/>
      <c r="N5" s="122" t="s">
        <v>104</v>
      </c>
      <c r="O5" s="11"/>
    </row>
    <row r="6" spans="1:26">
      <c r="A6" s="11"/>
      <c r="B6" s="10" t="s">
        <v>60</v>
      </c>
      <c r="C6" s="55" t="s">
        <v>61</v>
      </c>
      <c r="D6" s="55" t="s">
        <v>62</v>
      </c>
      <c r="E6" s="55" t="s">
        <v>63</v>
      </c>
      <c r="F6" s="55" t="s">
        <v>65</v>
      </c>
      <c r="G6" s="55" t="s">
        <v>66</v>
      </c>
      <c r="H6" s="55" t="s">
        <v>68</v>
      </c>
      <c r="I6" s="55" t="s">
        <v>70</v>
      </c>
      <c r="J6" s="55" t="s">
        <v>71</v>
      </c>
      <c r="K6" s="55" t="s">
        <v>72</v>
      </c>
      <c r="L6" s="55" t="s">
        <v>73</v>
      </c>
      <c r="M6" s="55" t="s">
        <v>74</v>
      </c>
      <c r="N6" s="32" t="s">
        <v>60</v>
      </c>
      <c r="O6" s="55" t="s">
        <v>61</v>
      </c>
      <c r="P6" s="55" t="s">
        <v>62</v>
      </c>
      <c r="Q6" s="55" t="s">
        <v>63</v>
      </c>
      <c r="R6" s="55" t="s">
        <v>65</v>
      </c>
      <c r="S6" s="55" t="s">
        <v>66</v>
      </c>
      <c r="T6" s="55" t="s">
        <v>68</v>
      </c>
      <c r="U6" s="55" t="s">
        <v>70</v>
      </c>
      <c r="V6" s="55" t="s">
        <v>71</v>
      </c>
      <c r="W6" s="55" t="s">
        <v>72</v>
      </c>
      <c r="X6" s="55" t="s">
        <v>73</v>
      </c>
      <c r="Y6" s="55" t="s">
        <v>74</v>
      </c>
    </row>
    <row r="7" spans="1:26">
      <c r="A7" s="10" t="s">
        <v>77</v>
      </c>
      <c r="B7" s="217">
        <f>'2a), 4) Inputs'!B20</f>
        <v>0</v>
      </c>
      <c r="C7" s="84">
        <f t="shared" ref="C7:Y7" si="0">B32</f>
        <v>10000000</v>
      </c>
      <c r="D7" s="52">
        <f t="shared" si="0"/>
        <v>10000000</v>
      </c>
      <c r="E7" s="52">
        <f t="shared" si="0"/>
        <v>10000000</v>
      </c>
      <c r="F7" s="52">
        <f t="shared" si="0"/>
        <v>10000000</v>
      </c>
      <c r="G7" s="52">
        <f t="shared" si="0"/>
        <v>10000000</v>
      </c>
      <c r="H7" s="52">
        <f t="shared" si="0"/>
        <v>10000000</v>
      </c>
      <c r="I7" s="52">
        <f t="shared" si="0"/>
        <v>10000000</v>
      </c>
      <c r="J7" s="52">
        <f t="shared" si="0"/>
        <v>10000000</v>
      </c>
      <c r="K7" s="52">
        <f t="shared" si="0"/>
        <v>10000000</v>
      </c>
      <c r="L7" s="52">
        <f t="shared" si="0"/>
        <v>10000000</v>
      </c>
      <c r="M7" s="84">
        <f t="shared" si="0"/>
        <v>10000000</v>
      </c>
      <c r="N7" s="184">
        <f t="shared" si="0"/>
        <v>10000000</v>
      </c>
      <c r="O7" s="84">
        <f t="shared" si="0"/>
        <v>70031910.821715474</v>
      </c>
      <c r="P7" s="52">
        <f t="shared" si="0"/>
        <v>72666805.250189126</v>
      </c>
      <c r="Q7" s="52">
        <f t="shared" si="0"/>
        <v>85966655.188587487</v>
      </c>
      <c r="R7" s="52">
        <f t="shared" si="0"/>
        <v>92402151.944234312</v>
      </c>
      <c r="S7" s="52">
        <f t="shared" si="0"/>
        <v>102715814.33985376</v>
      </c>
      <c r="T7" s="52">
        <f t="shared" si="0"/>
        <v>109151311.09550059</v>
      </c>
      <c r="U7" s="52">
        <f t="shared" si="0"/>
        <v>119464973.49112004</v>
      </c>
      <c r="V7" s="52">
        <f t="shared" si="0"/>
        <v>128072243.00515154</v>
      </c>
      <c r="W7" s="52">
        <f t="shared" si="0"/>
        <v>134507739.76079836</v>
      </c>
      <c r="X7" s="52">
        <f t="shared" si="0"/>
        <v>144821402.15641782</v>
      </c>
      <c r="Y7" s="52">
        <f t="shared" si="0"/>
        <v>151256898.91206464</v>
      </c>
      <c r="Z7" s="52"/>
    </row>
    <row r="8" spans="1:26">
      <c r="A8" s="10"/>
      <c r="B8" s="84"/>
      <c r="C8" s="84"/>
      <c r="D8" s="52"/>
      <c r="E8" s="52"/>
      <c r="F8" s="52"/>
      <c r="G8" s="52"/>
      <c r="H8" s="52"/>
      <c r="I8" s="52"/>
      <c r="J8" s="52"/>
      <c r="K8" s="52"/>
      <c r="L8" s="52"/>
      <c r="M8" s="84"/>
      <c r="N8" s="185"/>
      <c r="O8" s="84"/>
      <c r="P8" s="52"/>
      <c r="Q8" s="52"/>
      <c r="R8" s="52"/>
      <c r="S8" s="52"/>
      <c r="T8" s="52"/>
      <c r="U8" s="52"/>
      <c r="V8" s="52"/>
      <c r="W8" s="52"/>
      <c r="X8" s="52"/>
      <c r="Y8" s="52"/>
      <c r="Z8" s="52"/>
    </row>
    <row r="9" spans="1:26">
      <c r="A9" s="10" t="s">
        <v>176</v>
      </c>
      <c r="B9" s="84"/>
      <c r="C9" s="84"/>
      <c r="D9" s="52"/>
      <c r="E9" s="52"/>
      <c r="F9" s="52"/>
      <c r="G9" s="52"/>
      <c r="H9" s="52"/>
      <c r="I9" s="52"/>
      <c r="J9" s="52"/>
      <c r="K9" s="52"/>
      <c r="L9" s="52"/>
      <c r="M9" s="84"/>
      <c r="N9" s="185"/>
      <c r="O9" s="84"/>
      <c r="P9" s="52"/>
      <c r="Q9" s="52"/>
      <c r="R9" s="52"/>
      <c r="S9" s="52"/>
      <c r="T9" s="52"/>
      <c r="U9" s="52"/>
      <c r="V9" s="52"/>
      <c r="W9" s="52"/>
      <c r="X9" s="52"/>
      <c r="Y9" s="52"/>
      <c r="Z9" s="52"/>
    </row>
    <row r="10" spans="1:26">
      <c r="A10" s="11" t="s">
        <v>79</v>
      </c>
      <c r="B10" s="183">
        <f>MAX(0,(B29+'2a), 4) Inputs'!$B$19)-B7)</f>
        <v>30833333.333333332</v>
      </c>
      <c r="C10" s="183">
        <f>MAX(0,(C29+'2a), 4) Inputs'!$B$19)-C7)</f>
        <v>20833333.333333332</v>
      </c>
      <c r="D10" s="183">
        <f>MAX(0,(D29+'2a), 4) Inputs'!$B$19)-D7)</f>
        <v>20833333.333333332</v>
      </c>
      <c r="E10" s="183">
        <f>MAX(0,(E29+'2a), 4) Inputs'!$B$19)-E7)</f>
        <v>20833333.333333332</v>
      </c>
      <c r="F10" s="183">
        <f>MAX(0,(F29+'2a), 4) Inputs'!$B$19)-F7)</f>
        <v>20833333.333333332</v>
      </c>
      <c r="G10" s="183">
        <f>MAX(0,(G29+'2a), 4) Inputs'!$B$19)-G7)</f>
        <v>20833333.333333332</v>
      </c>
      <c r="H10" s="183">
        <f>MAX(0,(H29+'2a), 4) Inputs'!$B$19)-H7)</f>
        <v>20833333.333333332</v>
      </c>
      <c r="I10" s="183">
        <f>MAX(0,(I29+'2a), 4) Inputs'!$B$19)-I7)</f>
        <v>20833333.333333332</v>
      </c>
      <c r="J10" s="183">
        <f>MAX(0,(J29+'2a), 4) Inputs'!$B$19)-J7)</f>
        <v>20833333.333333332</v>
      </c>
      <c r="K10" s="183">
        <f>MAX(0,(K29+'2a), 4) Inputs'!$B$19)-K7)</f>
        <v>20833333.333333332</v>
      </c>
      <c r="L10" s="183">
        <f>MAX(0,(L29+'2a), 4) Inputs'!$B$19)-L7)</f>
        <v>20833333.333333332</v>
      </c>
      <c r="M10" s="183">
        <f>MAX(0,(M29+'2a), 4) Inputs'!$B$19)-M7)</f>
        <v>20833333.333333332</v>
      </c>
      <c r="N10" s="257"/>
      <c r="O10" s="258"/>
      <c r="P10" s="258"/>
      <c r="Q10" s="258"/>
      <c r="R10" s="258"/>
      <c r="S10" s="258"/>
      <c r="T10" s="258"/>
      <c r="U10" s="258"/>
      <c r="V10" s="258"/>
      <c r="W10" s="258"/>
      <c r="X10" s="258"/>
      <c r="Y10" s="258"/>
      <c r="Z10" s="52"/>
    </row>
    <row r="11" spans="1:26">
      <c r="A11" s="11" t="s">
        <v>105</v>
      </c>
      <c r="B11" s="188">
        <f>'2a), 4) Inputs'!$E$6*'2a), 4) Inputs'!$E$26</f>
        <v>0</v>
      </c>
      <c r="C11" s="188">
        <f>'2a), 4) Inputs'!$E$6*'2a), 4) Inputs'!$E$26</f>
        <v>0</v>
      </c>
      <c r="D11" s="188">
        <f>'2a), 4) Inputs'!$E$6*'2a), 4) Inputs'!$E$26</f>
        <v>0</v>
      </c>
      <c r="E11" s="188">
        <f>'2a), 4) Inputs'!$E$6*'2a), 4) Inputs'!$E$26</f>
        <v>0</v>
      </c>
      <c r="F11" s="188">
        <f>'2a), 4) Inputs'!$E$6*'2a), 4) Inputs'!$E$26</f>
        <v>0</v>
      </c>
      <c r="G11" s="188">
        <f>'2a), 4) Inputs'!$E$6*'2a), 4) Inputs'!$E$26</f>
        <v>0</v>
      </c>
      <c r="H11" s="188">
        <f>'2a), 4) Inputs'!$E$6*'2a), 4) Inputs'!$E$26</f>
        <v>0</v>
      </c>
      <c r="I11" s="188">
        <f>'2a), 4) Inputs'!$E$6*'2a), 4) Inputs'!$E$26</f>
        <v>0</v>
      </c>
      <c r="J11" s="188">
        <f>'2a), 4) Inputs'!$E$6*'2a), 4) Inputs'!$E$26</f>
        <v>0</v>
      </c>
      <c r="K11" s="188">
        <f>'2a), 4) Inputs'!$E$6*'2a), 4) Inputs'!$E$26</f>
        <v>0</v>
      </c>
      <c r="L11" s="188">
        <f>'2a), 4) Inputs'!$E$6*'2a), 4) Inputs'!$E$26</f>
        <v>0</v>
      </c>
      <c r="M11" s="188">
        <f>'2a), 4) Inputs'!$E$6*'2a), 4) Inputs'!$E$26</f>
        <v>0</v>
      </c>
      <c r="N11" s="187">
        <f>_xlfn.XLOOKUP(N6,'2b) Schedules'!$H$24:$H$35,'2b) Schedules'!$J$24:$J$35)-(Daily_demand_LNG_Y2*Selling_price_LNG_Y2)</f>
        <v>65153182.751540042</v>
      </c>
      <c r="O11" s="188">
        <f>_xlfn.XLOOKUP(O6,'2b) Schedules'!$H$24:$H$35,'2b) Schedules'!$J$24:$J$35)</f>
        <v>61352580.424366876</v>
      </c>
      <c r="P11" s="188">
        <f>_xlfn.XLOOKUP(P6,'2b) Schedules'!$H$24:$H$35,'2b) Schedules'!$J$24:$J$35)</f>
        <v>67324955.50992471</v>
      </c>
      <c r="Q11" s="188">
        <f>_xlfn.XLOOKUP(Q6,'2b) Schedules'!$H$24:$H$35,'2b) Schedules'!$J$24:$J$35)</f>
        <v>65153182.751540042</v>
      </c>
      <c r="R11" s="188">
        <f>_xlfn.XLOOKUP(R6,'2b) Schedules'!$H$24:$H$35,'2b) Schedules'!$J$24:$J$35)</f>
        <v>67324955.50992471</v>
      </c>
      <c r="S11" s="188">
        <f>_xlfn.XLOOKUP(S6,'2b) Schedules'!$H$24:$H$35,'2b) Schedules'!$J$24:$J$35)</f>
        <v>65153182.751540042</v>
      </c>
      <c r="T11" s="188">
        <f>_xlfn.XLOOKUP(T6,'2b) Schedules'!$H$24:$H$35,'2b) Schedules'!$J$24:$J$35)</f>
        <v>67324955.50992471</v>
      </c>
      <c r="U11" s="188">
        <f>_xlfn.XLOOKUP(U6,'2b) Schedules'!$H$24:$H$35,'2b) Schedules'!$J$24:$J$35)</f>
        <v>67324955.50992471</v>
      </c>
      <c r="V11" s="188">
        <f>_xlfn.XLOOKUP(V6,'2b) Schedules'!$H$24:$H$35,'2b) Schedules'!$J$24:$J$35)</f>
        <v>65153182.751540042</v>
      </c>
      <c r="W11" s="188">
        <f>_xlfn.XLOOKUP(W6,'2b) Schedules'!$H$24:$H$35,'2b) Schedules'!$J$24:$J$35)</f>
        <v>67324955.50992471</v>
      </c>
      <c r="X11" s="188">
        <f>_xlfn.XLOOKUP(X6,'2b) Schedules'!$H$24:$H$35,'2b) Schedules'!$J$24:$J$35)</f>
        <v>65153182.751540042</v>
      </c>
      <c r="Y11" s="188">
        <f>_xlfn.XLOOKUP(Y6,'2b) Schedules'!$H$24:$H$35,'2b) Schedules'!$J$24:$J$35)</f>
        <v>67324955.50992471</v>
      </c>
      <c r="Z11" s="84"/>
    </row>
    <row r="12" spans="1:26">
      <c r="A12" s="10" t="s">
        <v>178</v>
      </c>
      <c r="B12" s="84">
        <f t="shared" ref="B12:M12" si="1">SUM(B10:B11)</f>
        <v>30833333.333333332</v>
      </c>
      <c r="C12" s="84">
        <f t="shared" si="1"/>
        <v>20833333.333333332</v>
      </c>
      <c r="D12" s="84">
        <f t="shared" si="1"/>
        <v>20833333.333333332</v>
      </c>
      <c r="E12" s="84">
        <f t="shared" si="1"/>
        <v>20833333.333333332</v>
      </c>
      <c r="F12" s="84">
        <f t="shared" si="1"/>
        <v>20833333.333333332</v>
      </c>
      <c r="G12" s="84">
        <f t="shared" si="1"/>
        <v>20833333.333333332</v>
      </c>
      <c r="H12" s="84">
        <f t="shared" si="1"/>
        <v>20833333.333333332</v>
      </c>
      <c r="I12" s="84">
        <f t="shared" si="1"/>
        <v>20833333.333333332</v>
      </c>
      <c r="J12" s="84">
        <f t="shared" si="1"/>
        <v>20833333.333333332</v>
      </c>
      <c r="K12" s="84">
        <f t="shared" si="1"/>
        <v>20833333.333333332</v>
      </c>
      <c r="L12" s="84">
        <f t="shared" si="1"/>
        <v>20833333.333333332</v>
      </c>
      <c r="M12" s="84">
        <f t="shared" si="1"/>
        <v>20833333.333333332</v>
      </c>
      <c r="N12" s="185">
        <f>SUM(N10:N11)</f>
        <v>65153182.751540042</v>
      </c>
      <c r="O12" s="84">
        <f t="shared" ref="O12:Y12" si="2">SUM(O10:O11)</f>
        <v>61352580.424366876</v>
      </c>
      <c r="P12" s="84">
        <f t="shared" si="2"/>
        <v>67324955.50992471</v>
      </c>
      <c r="Q12" s="84">
        <f t="shared" si="2"/>
        <v>65153182.751540042</v>
      </c>
      <c r="R12" s="84">
        <f t="shared" si="2"/>
        <v>67324955.50992471</v>
      </c>
      <c r="S12" s="84">
        <f t="shared" si="2"/>
        <v>65153182.751540042</v>
      </c>
      <c r="T12" s="84">
        <f t="shared" si="2"/>
        <v>67324955.50992471</v>
      </c>
      <c r="U12" s="84">
        <f t="shared" si="2"/>
        <v>67324955.50992471</v>
      </c>
      <c r="V12" s="84">
        <f t="shared" si="2"/>
        <v>65153182.751540042</v>
      </c>
      <c r="W12" s="84">
        <f t="shared" si="2"/>
        <v>67324955.50992471</v>
      </c>
      <c r="X12" s="84">
        <f t="shared" si="2"/>
        <v>65153182.751540042</v>
      </c>
      <c r="Y12" s="84">
        <f t="shared" si="2"/>
        <v>67324955.50992471</v>
      </c>
      <c r="Z12" s="52"/>
    </row>
    <row r="13" spans="1:26">
      <c r="A13" s="11"/>
      <c r="B13" s="84"/>
      <c r="C13" s="84"/>
      <c r="D13" s="52"/>
      <c r="E13" s="52"/>
      <c r="F13" s="52"/>
      <c r="G13" s="52"/>
      <c r="H13" s="52"/>
      <c r="I13" s="52"/>
      <c r="J13" s="52"/>
      <c r="K13" s="52"/>
      <c r="L13" s="52"/>
      <c r="M13" s="84"/>
      <c r="N13" s="185"/>
      <c r="O13" s="84"/>
      <c r="P13" s="52"/>
      <c r="Q13" s="52"/>
      <c r="R13" s="52"/>
      <c r="S13" s="52"/>
      <c r="T13" s="52"/>
      <c r="U13" s="52"/>
      <c r="V13" s="52"/>
      <c r="W13" s="52"/>
      <c r="X13" s="52"/>
      <c r="Y13" s="52"/>
      <c r="Z13" s="52"/>
    </row>
    <row r="14" spans="1:26">
      <c r="A14" s="10" t="s">
        <v>177</v>
      </c>
      <c r="B14" s="84"/>
      <c r="C14" s="84"/>
      <c r="D14" s="52"/>
      <c r="E14" s="52"/>
      <c r="F14" s="52"/>
      <c r="G14" s="52"/>
      <c r="H14" s="52"/>
      <c r="I14" s="52"/>
      <c r="J14" s="52"/>
      <c r="K14" s="52"/>
      <c r="L14" s="52"/>
      <c r="M14" s="84"/>
      <c r="N14" s="185"/>
      <c r="O14" s="84"/>
      <c r="P14" s="84"/>
      <c r="Q14" s="84"/>
      <c r="R14" s="84"/>
      <c r="S14" s="84"/>
      <c r="T14" s="84"/>
      <c r="U14" s="84"/>
      <c r="V14" s="84"/>
      <c r="W14" s="84"/>
      <c r="X14" s="84"/>
      <c r="Y14" s="84"/>
      <c r="Z14" s="52"/>
    </row>
    <row r="15" spans="1:26">
      <c r="A15" s="11" t="s">
        <v>106</v>
      </c>
      <c r="B15" s="183">
        <f t="shared" ref="B15:M15" si="3">Development_cost/Months_in_year</f>
        <v>20833333.333333332</v>
      </c>
      <c r="C15" s="183">
        <f t="shared" si="3"/>
        <v>20833333.333333332</v>
      </c>
      <c r="D15" s="180">
        <f t="shared" si="3"/>
        <v>20833333.333333332</v>
      </c>
      <c r="E15" s="180">
        <f t="shared" si="3"/>
        <v>20833333.333333332</v>
      </c>
      <c r="F15" s="180">
        <f t="shared" si="3"/>
        <v>20833333.333333332</v>
      </c>
      <c r="G15" s="180">
        <f t="shared" si="3"/>
        <v>20833333.333333332</v>
      </c>
      <c r="H15" s="180">
        <f t="shared" si="3"/>
        <v>20833333.333333332</v>
      </c>
      <c r="I15" s="180">
        <f t="shared" si="3"/>
        <v>20833333.333333332</v>
      </c>
      <c r="J15" s="180">
        <f t="shared" si="3"/>
        <v>20833333.333333332</v>
      </c>
      <c r="K15" s="180">
        <f t="shared" si="3"/>
        <v>20833333.333333332</v>
      </c>
      <c r="L15" s="183">
        <f t="shared" si="3"/>
        <v>20833333.333333332</v>
      </c>
      <c r="M15" s="226">
        <f t="shared" si="3"/>
        <v>20833333.333333332</v>
      </c>
      <c r="N15" s="253"/>
      <c r="O15" s="253"/>
      <c r="P15" s="253"/>
      <c r="Q15" s="253"/>
      <c r="R15" s="253"/>
      <c r="S15" s="253"/>
      <c r="T15" s="253"/>
      <c r="U15" s="253"/>
      <c r="V15" s="253"/>
      <c r="W15" s="253"/>
      <c r="X15" s="253"/>
      <c r="Y15" s="253"/>
      <c r="Z15" s="52"/>
    </row>
    <row r="16" spans="1:26" ht="15.75">
      <c r="A16" s="189" t="s">
        <v>87</v>
      </c>
      <c r="B16" s="183">
        <f>'2a), 4) Inputs'!$E$6*'2a), 4) Inputs'!$E$25</f>
        <v>0</v>
      </c>
      <c r="C16" s="183">
        <f>'2a), 4) Inputs'!$E$6*'2a), 4) Inputs'!$E$25</f>
        <v>0</v>
      </c>
      <c r="D16" s="180">
        <f>'2a), 4) Inputs'!$E$6*'2a), 4) Inputs'!$E$25</f>
        <v>0</v>
      </c>
      <c r="E16" s="180">
        <f>'2a), 4) Inputs'!$E$6*'2a), 4) Inputs'!$E$25</f>
        <v>0</v>
      </c>
      <c r="F16" s="180">
        <f>'2a), 4) Inputs'!$E$6*'2a), 4) Inputs'!$E$25</f>
        <v>0</v>
      </c>
      <c r="G16" s="180">
        <f>'2a), 4) Inputs'!$E$6*'2a), 4) Inputs'!$E$25</f>
        <v>0</v>
      </c>
      <c r="H16" s="180">
        <f>'2a), 4) Inputs'!$E$6*'2a), 4) Inputs'!$E$25</f>
        <v>0</v>
      </c>
      <c r="I16" s="180">
        <f>'2a), 4) Inputs'!$E$6*'2a), 4) Inputs'!$E$25</f>
        <v>0</v>
      </c>
      <c r="J16" s="180">
        <f>'2a), 4) Inputs'!$E$6*'2a), 4) Inputs'!$E$25</f>
        <v>0</v>
      </c>
      <c r="K16" s="180">
        <f>'2a), 4) Inputs'!$E$6*'2a), 4) Inputs'!$E$25</f>
        <v>0</v>
      </c>
      <c r="L16" s="180">
        <f>'2a), 4) Inputs'!$E$6*'2a), 4) Inputs'!$E$25</f>
        <v>0</v>
      </c>
      <c r="M16" s="183">
        <f>'2a), 4) Inputs'!$E$6*'2a), 4) Inputs'!$E$25</f>
        <v>0</v>
      </c>
      <c r="N16" s="186">
        <f>Quantity_demand_Y1*Purchase_cost_LNG</f>
        <v>0</v>
      </c>
      <c r="O16" s="183">
        <f>'2b) Schedules'!K24</f>
        <v>52898179.329226553</v>
      </c>
      <c r="P16" s="180">
        <f>'2b) Schedules'!K25</f>
        <v>48205598.904859684</v>
      </c>
      <c r="Q16" s="180">
        <f>'2b) Schedules'!$K$26</f>
        <v>52898179.329226553</v>
      </c>
      <c r="R16" s="180">
        <f>'2b) Schedules'!$K$27</f>
        <v>51191786.447638601</v>
      </c>
      <c r="S16" s="180">
        <f>'2b) Schedules'!$K$28</f>
        <v>52898179.329226553</v>
      </c>
      <c r="T16" s="180">
        <f>'2b) Schedules'!$K$29</f>
        <v>51191786.447638601</v>
      </c>
      <c r="U16" s="180">
        <f>'2b) Schedules'!$K$30</f>
        <v>52898179.329226553</v>
      </c>
      <c r="V16" s="180">
        <f>'2b) Schedules'!$K$31</f>
        <v>52898179.329226553</v>
      </c>
      <c r="W16" s="180">
        <f>'2b) Schedules'!$K$32</f>
        <v>51191786.447638601</v>
      </c>
      <c r="X16" s="180">
        <f>'2b) Schedules'!$K$33</f>
        <v>52898179.329226553</v>
      </c>
      <c r="Y16" s="180">
        <f>'2b) Schedules'!$K$34</f>
        <v>51191786.447638601</v>
      </c>
      <c r="Z16" s="52"/>
    </row>
    <row r="17" spans="1:26">
      <c r="A17" s="157" t="s">
        <v>107</v>
      </c>
      <c r="B17" s="84"/>
      <c r="C17" s="84"/>
      <c r="D17" s="52"/>
      <c r="E17" s="52"/>
      <c r="F17" s="52"/>
      <c r="G17" s="52"/>
      <c r="H17" s="52"/>
      <c r="I17" s="52"/>
      <c r="J17" s="52"/>
      <c r="K17" s="52"/>
      <c r="L17" s="52"/>
      <c r="M17" s="84"/>
      <c r="N17" s="185"/>
      <c r="O17" s="84"/>
      <c r="P17" s="52"/>
      <c r="Q17" s="52"/>
      <c r="R17" s="52"/>
      <c r="S17" s="52"/>
      <c r="T17" s="52"/>
      <c r="U17" s="52"/>
      <c r="V17" s="52"/>
      <c r="W17" s="52"/>
      <c r="X17" s="52"/>
      <c r="Y17" s="52"/>
      <c r="Z17" s="52"/>
    </row>
    <row r="18" spans="1:26" ht="15.75">
      <c r="A18" s="189" t="s">
        <v>114</v>
      </c>
      <c r="B18" s="183">
        <f>'2a), 4) Inputs'!$B$36/Months_in_year</f>
        <v>0</v>
      </c>
      <c r="C18" s="183">
        <f>'2a), 4) Inputs'!$B$36/Months_in_year</f>
        <v>0</v>
      </c>
      <c r="D18" s="183">
        <f>'2a), 4) Inputs'!$B$36/Months_in_year</f>
        <v>0</v>
      </c>
      <c r="E18" s="183">
        <f>'2a), 4) Inputs'!$B$36/Months_in_year</f>
        <v>0</v>
      </c>
      <c r="F18" s="183">
        <f>'2a), 4) Inputs'!$B$36/Months_in_year</f>
        <v>0</v>
      </c>
      <c r="G18" s="183">
        <f>'2a), 4) Inputs'!$B$36/Months_in_year</f>
        <v>0</v>
      </c>
      <c r="H18" s="183">
        <f>'2a), 4) Inputs'!$B$36/Months_in_year</f>
        <v>0</v>
      </c>
      <c r="I18" s="183">
        <f>'2a), 4) Inputs'!$B$36/Months_in_year</f>
        <v>0</v>
      </c>
      <c r="J18" s="183">
        <f>'2a), 4) Inputs'!$B$36/Months_in_year</f>
        <v>0</v>
      </c>
      <c r="K18" s="183">
        <f>'2a), 4) Inputs'!$B$36/Months_in_year</f>
        <v>0</v>
      </c>
      <c r="L18" s="183">
        <f>'2a), 4) Inputs'!$B$36/Months_in_year</f>
        <v>0</v>
      </c>
      <c r="M18" s="183">
        <f>'2a), 4) Inputs'!$B$36/Months_in_year</f>
        <v>0</v>
      </c>
      <c r="N18" s="186">
        <f t="shared" ref="N18:Y18" si="4">Carbon_offset/Months_in_year</f>
        <v>2750000</v>
      </c>
      <c r="O18" s="183">
        <f t="shared" si="4"/>
        <v>2750000</v>
      </c>
      <c r="P18" s="183">
        <f t="shared" si="4"/>
        <v>2750000</v>
      </c>
      <c r="Q18" s="183">
        <f t="shared" si="4"/>
        <v>2750000</v>
      </c>
      <c r="R18" s="183">
        <f t="shared" si="4"/>
        <v>2750000</v>
      </c>
      <c r="S18" s="183">
        <f t="shared" si="4"/>
        <v>2750000</v>
      </c>
      <c r="T18" s="183">
        <f t="shared" si="4"/>
        <v>2750000</v>
      </c>
      <c r="U18" s="183">
        <f t="shared" si="4"/>
        <v>2750000</v>
      </c>
      <c r="V18" s="183">
        <f t="shared" si="4"/>
        <v>2750000</v>
      </c>
      <c r="W18" s="183">
        <f t="shared" si="4"/>
        <v>2750000</v>
      </c>
      <c r="X18" s="183">
        <f t="shared" si="4"/>
        <v>2750000</v>
      </c>
      <c r="Y18" s="183">
        <f t="shared" si="4"/>
        <v>2750000</v>
      </c>
      <c r="Z18" s="52"/>
    </row>
    <row r="19" spans="1:26" ht="15.75">
      <c r="A19" s="189" t="s">
        <v>109</v>
      </c>
      <c r="B19" s="183">
        <f>('2a), 4) Inputs'!$E$10*'2a), 4) Inputs'!$H$6)/Months_in_year</f>
        <v>0</v>
      </c>
      <c r="C19" s="183">
        <f>('2a), 4) Inputs'!$E$10*'2a), 4) Inputs'!$H$6)/Months_in_year</f>
        <v>0</v>
      </c>
      <c r="D19" s="180">
        <f>('2a), 4) Inputs'!$E$10*'2a), 4) Inputs'!$H$6)/Months_in_year</f>
        <v>0</v>
      </c>
      <c r="E19" s="180">
        <f>('2a), 4) Inputs'!$E$10*'2a), 4) Inputs'!$H$6)/Months_in_year</f>
        <v>0</v>
      </c>
      <c r="F19" s="180">
        <f>('2a), 4) Inputs'!$E$10*'2a), 4) Inputs'!$H$6)/Months_in_year</f>
        <v>0</v>
      </c>
      <c r="G19" s="180">
        <f>('2a), 4) Inputs'!$E$10*'2a), 4) Inputs'!$H$6)/Months_in_year</f>
        <v>0</v>
      </c>
      <c r="H19" s="180">
        <f>('2a), 4) Inputs'!$E$10*'2a), 4) Inputs'!$H$6)/Months_in_year</f>
        <v>0</v>
      </c>
      <c r="I19" s="180">
        <f>('2a), 4) Inputs'!$E$10*'2a), 4) Inputs'!$H$6)/Months_in_year</f>
        <v>0</v>
      </c>
      <c r="J19" s="180">
        <f>('2a), 4) Inputs'!$E$10*'2a), 4) Inputs'!$H$6)/Months_in_year</f>
        <v>0</v>
      </c>
      <c r="K19" s="180">
        <f>('2a), 4) Inputs'!$E$10*'2a), 4) Inputs'!$H$6)/Months_in_year</f>
        <v>0</v>
      </c>
      <c r="L19" s="180">
        <f>('2a), 4) Inputs'!$E$10*'2a), 4) Inputs'!$H$6)/Months_in_year</f>
        <v>0</v>
      </c>
      <c r="M19" s="183">
        <f>('2a), 4) Inputs'!$E$10*'2a), 4) Inputs'!$H$6)/Months_in_year</f>
        <v>0</v>
      </c>
      <c r="N19" s="186">
        <f>('2a), 4) Inputs'!$E$10*'2a), 4) Inputs'!$H$6)/Months_in_year</f>
        <v>0</v>
      </c>
      <c r="O19" s="183">
        <f>'2b) Schedules'!$K$16/Months_in_year</f>
        <v>1998333.3333333333</v>
      </c>
      <c r="P19" s="180">
        <f>'2b) Schedules'!$K$16/Months_in_year</f>
        <v>1998333.3333333333</v>
      </c>
      <c r="Q19" s="180">
        <f>'2b) Schedules'!$K$16/Months_in_year</f>
        <v>1998333.3333333333</v>
      </c>
      <c r="R19" s="180">
        <f>'2b) Schedules'!$K$16/Months_in_year</f>
        <v>1998333.3333333333</v>
      </c>
      <c r="S19" s="180">
        <f>'2b) Schedules'!$K$16/Months_in_year</f>
        <v>1998333.3333333333</v>
      </c>
      <c r="T19" s="180">
        <f>'2b) Schedules'!$K$16/Months_in_year</f>
        <v>1998333.3333333333</v>
      </c>
      <c r="U19" s="180">
        <f>'2b) Schedules'!$K$16/Months_in_year</f>
        <v>1998333.3333333333</v>
      </c>
      <c r="V19" s="180">
        <f>'2b) Schedules'!$K$16/Months_in_year</f>
        <v>1998333.3333333333</v>
      </c>
      <c r="W19" s="180">
        <f>'2b) Schedules'!$K$16/Months_in_year</f>
        <v>1998333.3333333333</v>
      </c>
      <c r="X19" s="180">
        <f>'2b) Schedules'!$K$16/Months_in_year</f>
        <v>1998333.3333333333</v>
      </c>
      <c r="Y19" s="180">
        <f>'2b) Schedules'!$K$16/Months_in_year</f>
        <v>1998333.3333333333</v>
      </c>
      <c r="Z19" s="52"/>
    </row>
    <row r="20" spans="1:26" ht="15.75">
      <c r="A20" s="189" t="s">
        <v>300</v>
      </c>
      <c r="B20" s="183">
        <f>'2b) Schedules'!$D$6</f>
        <v>0</v>
      </c>
      <c r="C20" s="183">
        <f>'2b) Schedules'!$D$6</f>
        <v>0</v>
      </c>
      <c r="D20" s="183">
        <f>'2b) Schedules'!$D$6</f>
        <v>0</v>
      </c>
      <c r="E20" s="183">
        <f>'2b) Schedules'!$D$6</f>
        <v>0</v>
      </c>
      <c r="F20" s="183">
        <f>'2b) Schedules'!$D$6</f>
        <v>0</v>
      </c>
      <c r="G20" s="183">
        <f>'2b) Schedules'!$D$6</f>
        <v>0</v>
      </c>
      <c r="H20" s="183">
        <f>'2b) Schedules'!$D$6</f>
        <v>0</v>
      </c>
      <c r="I20" s="183">
        <f>'2b) Schedules'!$D$6</f>
        <v>0</v>
      </c>
      <c r="J20" s="183">
        <f>'2b) Schedules'!$D$6</f>
        <v>0</v>
      </c>
      <c r="K20" s="183">
        <f>'2b) Schedules'!$D$6</f>
        <v>0</v>
      </c>
      <c r="L20" s="183">
        <f>'2b) Schedules'!$D$6</f>
        <v>0</v>
      </c>
      <c r="M20" s="183">
        <f>'2b) Schedules'!$D$6</f>
        <v>0</v>
      </c>
      <c r="N20" s="186">
        <f>$Y$20-'2b) Schedules'!$D$7</f>
        <v>0</v>
      </c>
      <c r="O20" s="183">
        <f>$Y$20-'2b) Schedules'!$D$7</f>
        <v>0</v>
      </c>
      <c r="P20" s="183">
        <f>$Y$20-'2b) Schedules'!$D$7</f>
        <v>0</v>
      </c>
      <c r="Q20" s="183">
        <f>$Y$20-'2b) Schedules'!$D$7</f>
        <v>0</v>
      </c>
      <c r="R20" s="183">
        <f>$Y$20-'2b) Schedules'!$D$7</f>
        <v>0</v>
      </c>
      <c r="S20" s="183">
        <f>$Y$20-'2b) Schedules'!$D$7</f>
        <v>0</v>
      </c>
      <c r="T20" s="183">
        <f>$Y$20-'2b) Schedules'!$D$7</f>
        <v>0</v>
      </c>
      <c r="U20" s="183">
        <f>$Y$20-'2b) Schedules'!$D$7</f>
        <v>0</v>
      </c>
      <c r="V20" s="183">
        <f>$Y$20-'2b) Schedules'!$D$7</f>
        <v>0</v>
      </c>
      <c r="W20" s="183">
        <f>$Y$20-'2b) Schedules'!$D$7</f>
        <v>0</v>
      </c>
      <c r="X20" s="183">
        <f>$Y$20-'2b) Schedules'!$D$7</f>
        <v>0</v>
      </c>
      <c r="Y20" s="183">
        <f>'2b) Schedules'!D7</f>
        <v>15336542.290246988</v>
      </c>
      <c r="Z20" s="52"/>
    </row>
    <row r="21" spans="1:26" ht="15.75">
      <c r="A21" s="189" t="s">
        <v>111</v>
      </c>
      <c r="B21" s="183">
        <f>('2a), 4) Inputs'!$E$11*'2a), 4) Inputs'!$H$6)/Months_in_year</f>
        <v>0</v>
      </c>
      <c r="C21" s="183">
        <f>('2a), 4) Inputs'!$E$11*'2a), 4) Inputs'!$H$6)/Months_in_year</f>
        <v>0</v>
      </c>
      <c r="D21" s="183">
        <f>('2a), 4) Inputs'!$E$11*'2a), 4) Inputs'!$H$6)/Months_in_year</f>
        <v>0</v>
      </c>
      <c r="E21" s="183">
        <f>('2a), 4) Inputs'!$E$11*'2a), 4) Inputs'!$H$6)/Months_in_year</f>
        <v>0</v>
      </c>
      <c r="F21" s="183">
        <f>('2a), 4) Inputs'!$E$11*'2a), 4) Inputs'!$H$6)/Months_in_year</f>
        <v>0</v>
      </c>
      <c r="G21" s="183">
        <f>('2a), 4) Inputs'!$E$11*'2a), 4) Inputs'!$H$6)/Months_in_year</f>
        <v>0</v>
      </c>
      <c r="H21" s="183">
        <f>('2a), 4) Inputs'!$E$11*'2a), 4) Inputs'!$H$6)/Months_in_year</f>
        <v>0</v>
      </c>
      <c r="I21" s="183">
        <f>('2a), 4) Inputs'!$E$11*'2a), 4) Inputs'!$H$6)/Months_in_year</f>
        <v>0</v>
      </c>
      <c r="J21" s="183">
        <f>('2a), 4) Inputs'!$E$11*'2a), 4) Inputs'!$H$6)/Months_in_year</f>
        <v>0</v>
      </c>
      <c r="K21" s="183">
        <f>('2a), 4) Inputs'!$E$11*'2a), 4) Inputs'!$H$6)/Months_in_year</f>
        <v>0</v>
      </c>
      <c r="L21" s="183">
        <f>('2a), 4) Inputs'!$E$11*'2a), 4) Inputs'!$H$6)/Months_in_year</f>
        <v>0</v>
      </c>
      <c r="M21" s="226">
        <f>('2a), 4) Inputs'!$E$11*'2a), 4) Inputs'!$H$6)/Months_in_year</f>
        <v>0</v>
      </c>
      <c r="N21" s="183">
        <f>('2a), 4) Inputs'!$E$11*'2a), 4) Inputs'!$H$6)/Months_in_year</f>
        <v>0</v>
      </c>
      <c r="O21" s="183">
        <f>'2b) Schedules'!$L$16/Months_in_year</f>
        <v>363333.33333333331</v>
      </c>
      <c r="P21" s="183">
        <f>'2b) Schedules'!$L$16/Months_in_year</f>
        <v>363333.33333333331</v>
      </c>
      <c r="Q21" s="183">
        <f>'2b) Schedules'!$L$16/Months_in_year</f>
        <v>363333.33333333331</v>
      </c>
      <c r="R21" s="183">
        <f>'2b) Schedules'!$L$16/Months_in_year</f>
        <v>363333.33333333331</v>
      </c>
      <c r="S21" s="183">
        <f>'2b) Schedules'!$L$16/Months_in_year</f>
        <v>363333.33333333331</v>
      </c>
      <c r="T21" s="183">
        <f>'2b) Schedules'!$L$16/Months_in_year</f>
        <v>363333.33333333331</v>
      </c>
      <c r="U21" s="183">
        <f>'2b) Schedules'!$L$16/Months_in_year</f>
        <v>363333.33333333331</v>
      </c>
      <c r="V21" s="183">
        <f>'2b) Schedules'!$L$16/Months_in_year</f>
        <v>363333.33333333331</v>
      </c>
      <c r="W21" s="183">
        <f>'2b) Schedules'!$L$16/Months_in_year</f>
        <v>363333.33333333331</v>
      </c>
      <c r="X21" s="183">
        <f>'2b) Schedules'!$L$16/Months_in_year</f>
        <v>363333.33333333331</v>
      </c>
      <c r="Y21" s="183">
        <f>'2b) Schedules'!$L$16/Months_in_year</f>
        <v>363333.33333333331</v>
      </c>
      <c r="Z21" s="52"/>
    </row>
    <row r="22" spans="1:26" ht="15.75">
      <c r="A22" s="216" t="s">
        <v>188</v>
      </c>
      <c r="B22" s="183">
        <f>'2a), 4) Inputs'!$E$16/Months_in_year</f>
        <v>0</v>
      </c>
      <c r="C22" s="183">
        <f>'2a), 4) Inputs'!$E$16/Months_in_year</f>
        <v>0</v>
      </c>
      <c r="D22" s="180">
        <f>'2a), 4) Inputs'!$E$16/Months_in_year</f>
        <v>0</v>
      </c>
      <c r="E22" s="180">
        <f>'2a), 4) Inputs'!$E$16/Months_in_year</f>
        <v>0</v>
      </c>
      <c r="F22" s="180">
        <f>'2a), 4) Inputs'!$E$16/Months_in_year</f>
        <v>0</v>
      </c>
      <c r="G22" s="180">
        <f>'2a), 4) Inputs'!$E$16/Months_in_year</f>
        <v>0</v>
      </c>
      <c r="H22" s="180">
        <f>'2a), 4) Inputs'!$E$16/Months_in_year</f>
        <v>0</v>
      </c>
      <c r="I22" s="180">
        <f>'2a), 4) Inputs'!$E$16/Months_in_year</f>
        <v>0</v>
      </c>
      <c r="J22" s="180">
        <f>'2a), 4) Inputs'!$E$16/Months_in_year</f>
        <v>0</v>
      </c>
      <c r="K22" s="180">
        <f>'2a), 4) Inputs'!$E$16/Months_in_year</f>
        <v>0</v>
      </c>
      <c r="L22" s="180">
        <f>'2a), 4) Inputs'!$E$16/Months_in_year</f>
        <v>0</v>
      </c>
      <c r="M22" s="183">
        <f>'2a), 4) Inputs'!$E$16/Months_in_year</f>
        <v>0</v>
      </c>
      <c r="N22" s="186">
        <f>'2a), 4) Inputs'!$E$38/Months_in_year</f>
        <v>237938.596491228</v>
      </c>
      <c r="O22" s="183">
        <f>'2a), 4) Inputs'!$E$38/Months_in_year</f>
        <v>237938.596491228</v>
      </c>
      <c r="P22" s="180">
        <f>'2a), 4) Inputs'!$E$38/Months_in_year</f>
        <v>237938.596491228</v>
      </c>
      <c r="Q22" s="180">
        <f>'2a), 4) Inputs'!$E$38/Months_in_year</f>
        <v>237938.596491228</v>
      </c>
      <c r="R22" s="180">
        <f>'2a), 4) Inputs'!$E$38/Months_in_year</f>
        <v>237938.596491228</v>
      </c>
      <c r="S22" s="180">
        <f>'2a), 4) Inputs'!$E$38/Months_in_year</f>
        <v>237938.596491228</v>
      </c>
      <c r="T22" s="180">
        <f>'2a), 4) Inputs'!$E$38/Months_in_year</f>
        <v>237938.596491228</v>
      </c>
      <c r="U22" s="180">
        <f>'2a), 4) Inputs'!$E$38/Months_in_year</f>
        <v>237938.596491228</v>
      </c>
      <c r="V22" s="180">
        <f>'2a), 4) Inputs'!$E$38/Months_in_year</f>
        <v>237938.596491228</v>
      </c>
      <c r="W22" s="180">
        <f>'2a), 4) Inputs'!$E$38/Months_in_year</f>
        <v>237938.596491228</v>
      </c>
      <c r="X22" s="180">
        <f>'2a), 4) Inputs'!$E$38/Months_in_year</f>
        <v>237938.596491228</v>
      </c>
      <c r="Y22" s="180">
        <f>'2a), 4) Inputs'!$E$38/Months_in_year</f>
        <v>237938.596491228</v>
      </c>
      <c r="Z22" s="52"/>
    </row>
    <row r="23" spans="1:26" ht="15.75">
      <c r="A23" s="189" t="s">
        <v>112</v>
      </c>
      <c r="B23" s="183">
        <f>'2a), 4) Inputs'!$E$12/Months_in_year</f>
        <v>0</v>
      </c>
      <c r="C23" s="183">
        <f>'2a), 4) Inputs'!$E$12/Months_in_year</f>
        <v>0</v>
      </c>
      <c r="D23" s="180">
        <f>'2a), 4) Inputs'!$E$12/Months_in_year</f>
        <v>0</v>
      </c>
      <c r="E23" s="180">
        <f>'2a), 4) Inputs'!$E$12/Months_in_year</f>
        <v>0</v>
      </c>
      <c r="F23" s="180">
        <f>'2a), 4) Inputs'!$E$12/Months_in_year</f>
        <v>0</v>
      </c>
      <c r="G23" s="180">
        <f>'2a), 4) Inputs'!$E$12/Months_in_year</f>
        <v>0</v>
      </c>
      <c r="H23" s="180">
        <f>'2a), 4) Inputs'!$E$12/Months_in_year</f>
        <v>0</v>
      </c>
      <c r="I23" s="180">
        <f>'2a), 4) Inputs'!$E$12/Months_in_year</f>
        <v>0</v>
      </c>
      <c r="J23" s="180">
        <f>'2a), 4) Inputs'!$E$12/Months_in_year</f>
        <v>0</v>
      </c>
      <c r="K23" s="180">
        <f>'2a), 4) Inputs'!$E$12/Months_in_year</f>
        <v>0</v>
      </c>
      <c r="L23" s="180">
        <f>'2a), 4) Inputs'!$E$12/Months_in_year</f>
        <v>0</v>
      </c>
      <c r="M23" s="183">
        <f>'2a), 4) Inputs'!$E$12/Months_in_year</f>
        <v>0</v>
      </c>
      <c r="N23" s="186">
        <f t="shared" ref="N23:Y23" si="5">General_maintenance/Months_in_year</f>
        <v>166666.66666666666</v>
      </c>
      <c r="O23" s="183">
        <f t="shared" si="5"/>
        <v>166666.66666666666</v>
      </c>
      <c r="P23" s="180">
        <f t="shared" si="5"/>
        <v>166666.66666666666</v>
      </c>
      <c r="Q23" s="180">
        <f t="shared" si="5"/>
        <v>166666.66666666666</v>
      </c>
      <c r="R23" s="180">
        <f t="shared" si="5"/>
        <v>166666.66666666666</v>
      </c>
      <c r="S23" s="180">
        <f t="shared" si="5"/>
        <v>166666.66666666666</v>
      </c>
      <c r="T23" s="180">
        <f t="shared" si="5"/>
        <v>166666.66666666666</v>
      </c>
      <c r="U23" s="180">
        <f t="shared" si="5"/>
        <v>166666.66666666666</v>
      </c>
      <c r="V23" s="180">
        <f t="shared" si="5"/>
        <v>166666.66666666666</v>
      </c>
      <c r="W23" s="180">
        <f t="shared" si="5"/>
        <v>166666.66666666666</v>
      </c>
      <c r="X23" s="180">
        <f t="shared" si="5"/>
        <v>166666.66666666666</v>
      </c>
      <c r="Y23" s="180">
        <f t="shared" si="5"/>
        <v>166666.66666666666</v>
      </c>
      <c r="Z23" s="52"/>
    </row>
    <row r="24" spans="1:26" ht="15.75">
      <c r="A24" s="189" t="s">
        <v>113</v>
      </c>
      <c r="B24" s="183">
        <f>'2a), 4) Inputs'!$E$13/Months_in_year</f>
        <v>0</v>
      </c>
      <c r="C24" s="183">
        <f>'2a), 4) Inputs'!$E$13/Months_in_year</f>
        <v>0</v>
      </c>
      <c r="D24" s="180">
        <f>'2a), 4) Inputs'!$E$13/Months_in_year</f>
        <v>0</v>
      </c>
      <c r="E24" s="180">
        <f>'2a), 4) Inputs'!$E$13/Months_in_year</f>
        <v>0</v>
      </c>
      <c r="F24" s="180">
        <f>'2a), 4) Inputs'!$E$13/Months_in_year</f>
        <v>0</v>
      </c>
      <c r="G24" s="180">
        <f>'2a), 4) Inputs'!$E$13/Months_in_year</f>
        <v>0</v>
      </c>
      <c r="H24" s="180">
        <f>'2a), 4) Inputs'!$E$13/Months_in_year</f>
        <v>0</v>
      </c>
      <c r="I24" s="180">
        <f>'2a), 4) Inputs'!$E$13/Months_in_year</f>
        <v>0</v>
      </c>
      <c r="J24" s="180">
        <f>'2a), 4) Inputs'!$E$13/Months_in_year</f>
        <v>0</v>
      </c>
      <c r="K24" s="180">
        <f>'2a), 4) Inputs'!$E$13/Months_in_year</f>
        <v>0</v>
      </c>
      <c r="L24" s="180">
        <f>'2a), 4) Inputs'!$E$13/Months_in_year</f>
        <v>0</v>
      </c>
      <c r="M24" s="183">
        <f>'2a), 4) Inputs'!$E$13/Months_in_year</f>
        <v>0</v>
      </c>
      <c r="N24" s="186">
        <f t="shared" ref="N24:Y24" si="6">Stores_and_lubricants/Months_in_year</f>
        <v>166666.66666666666</v>
      </c>
      <c r="O24" s="183">
        <f t="shared" si="6"/>
        <v>166666.66666666666</v>
      </c>
      <c r="P24" s="180">
        <f t="shared" si="6"/>
        <v>166666.66666666666</v>
      </c>
      <c r="Q24" s="180">
        <f t="shared" si="6"/>
        <v>166666.66666666666</v>
      </c>
      <c r="R24" s="180">
        <f t="shared" si="6"/>
        <v>166666.66666666666</v>
      </c>
      <c r="S24" s="180">
        <f t="shared" si="6"/>
        <v>166666.66666666666</v>
      </c>
      <c r="T24" s="180">
        <f t="shared" si="6"/>
        <v>166666.66666666666</v>
      </c>
      <c r="U24" s="180">
        <f t="shared" si="6"/>
        <v>166666.66666666666</v>
      </c>
      <c r="V24" s="180">
        <f t="shared" si="6"/>
        <v>166666.66666666666</v>
      </c>
      <c r="W24" s="180">
        <f t="shared" si="6"/>
        <v>166666.66666666666</v>
      </c>
      <c r="X24" s="180">
        <f t="shared" si="6"/>
        <v>166666.66666666666</v>
      </c>
      <c r="Y24" s="180">
        <f t="shared" si="6"/>
        <v>166666.66666666666</v>
      </c>
    </row>
    <row r="25" spans="1:26" ht="15.75">
      <c r="A25" s="189" t="s">
        <v>108</v>
      </c>
      <c r="B25" s="183">
        <f>'2a), 4) Inputs'!$E$9</f>
        <v>0</v>
      </c>
      <c r="C25" s="183">
        <f>'2a), 4) Inputs'!$E$9-$B$25</f>
        <v>0</v>
      </c>
      <c r="D25" s="180">
        <f>'2a), 4) Inputs'!$E$9-$B$25</f>
        <v>0</v>
      </c>
      <c r="E25" s="180">
        <f>'2a), 4) Inputs'!$E$9-$B$25</f>
        <v>0</v>
      </c>
      <c r="F25" s="180">
        <f>'2a), 4) Inputs'!$E$9-$B$25</f>
        <v>0</v>
      </c>
      <c r="G25" s="180">
        <f>'2a), 4) Inputs'!$E$9-$B$25</f>
        <v>0</v>
      </c>
      <c r="H25" s="180">
        <f>'2a), 4) Inputs'!$E$9-$B$25</f>
        <v>0</v>
      </c>
      <c r="I25" s="180">
        <f>'2a), 4) Inputs'!$E$9-$B$25</f>
        <v>0</v>
      </c>
      <c r="J25" s="180">
        <f>'2a), 4) Inputs'!$E$9-$B$25</f>
        <v>0</v>
      </c>
      <c r="K25" s="180">
        <f>'2a), 4) Inputs'!$E$9-$B$25</f>
        <v>0</v>
      </c>
      <c r="L25" s="180">
        <f>'2a), 4) Inputs'!$E$9-$B$25</f>
        <v>0</v>
      </c>
      <c r="M25" s="183">
        <f>'2a), 4) Inputs'!$E$9-$B$25</f>
        <v>0</v>
      </c>
      <c r="N25" s="186">
        <f>Insurance_expense</f>
        <v>1800000</v>
      </c>
      <c r="O25" s="183">
        <f>'2a), 4) Inputs'!$E$29-'2c), 3) Cash Budgets, Y1-Y2'!$N$25</f>
        <v>0</v>
      </c>
      <c r="P25" s="180">
        <f>'2a), 4) Inputs'!$E$29-'2c), 3) Cash Budgets, Y1-Y2'!$N$25</f>
        <v>0</v>
      </c>
      <c r="Q25" s="180">
        <f>'2a), 4) Inputs'!$E$29-'2c), 3) Cash Budgets, Y1-Y2'!$N$25</f>
        <v>0</v>
      </c>
      <c r="R25" s="180">
        <f>'2a), 4) Inputs'!$E$29-'2c), 3) Cash Budgets, Y1-Y2'!$N$25</f>
        <v>0</v>
      </c>
      <c r="S25" s="180">
        <f>'2a), 4) Inputs'!$E$29-'2c), 3) Cash Budgets, Y1-Y2'!$N$25</f>
        <v>0</v>
      </c>
      <c r="T25" s="180">
        <f>'2a), 4) Inputs'!$E$29-'2c), 3) Cash Budgets, Y1-Y2'!$N$25</f>
        <v>0</v>
      </c>
      <c r="U25" s="180">
        <f>'2a), 4) Inputs'!$E$29-'2c), 3) Cash Budgets, Y1-Y2'!$N$25</f>
        <v>0</v>
      </c>
      <c r="V25" s="180">
        <f>'2a), 4) Inputs'!$E$29-'2c), 3) Cash Budgets, Y1-Y2'!$N$25</f>
        <v>0</v>
      </c>
      <c r="W25" s="180">
        <f>'2a), 4) Inputs'!$E$29-'2c), 3) Cash Budgets, Y1-Y2'!$N$25</f>
        <v>0</v>
      </c>
      <c r="X25" s="180">
        <f>'2a), 4) Inputs'!$E$29-'2c), 3) Cash Budgets, Y1-Y2'!$N$25</f>
        <v>0</v>
      </c>
      <c r="Y25" s="180">
        <f>'2a), 4) Inputs'!$E$29-'2c), 3) Cash Budgets, Y1-Y2'!$N$25</f>
        <v>0</v>
      </c>
      <c r="Z25" s="52"/>
    </row>
    <row r="26" spans="1:26" ht="15.75">
      <c r="A26" s="189" t="s">
        <v>110</v>
      </c>
      <c r="B26" s="183">
        <f>('2b) Schedules'!$R$26*'2a), 4) Inputs'!$H$6)/Months_in_year</f>
        <v>0</v>
      </c>
      <c r="C26" s="183">
        <f>('2b) Schedules'!$R$26*'2a), 4) Inputs'!$H$6)/Months_in_year</f>
        <v>0</v>
      </c>
      <c r="D26" s="183">
        <f>('2b) Schedules'!$R$26*'2a), 4) Inputs'!$H$6)/Months_in_year</f>
        <v>0</v>
      </c>
      <c r="E26" s="183">
        <f>('2b) Schedules'!$R$26*'2a), 4) Inputs'!$H$6)/Months_in_year</f>
        <v>0</v>
      </c>
      <c r="F26" s="183">
        <f>('2b) Schedules'!$R$26*'2a), 4) Inputs'!$H$6)/Months_in_year</f>
        <v>0</v>
      </c>
      <c r="G26" s="183">
        <f>('2b) Schedules'!$R$26*'2a), 4) Inputs'!$H$6)/Months_in_year</f>
        <v>0</v>
      </c>
      <c r="H26" s="183">
        <f>('2b) Schedules'!$R$26*'2a), 4) Inputs'!$H$6)/Months_in_year</f>
        <v>0</v>
      </c>
      <c r="I26" s="183">
        <f>('2b) Schedules'!$R$26*'2a), 4) Inputs'!$H$6)/Months_in_year</f>
        <v>0</v>
      </c>
      <c r="J26" s="183">
        <f>('2b) Schedules'!$R$26*'2a), 4) Inputs'!$H$6)/Months_in_year</f>
        <v>0</v>
      </c>
      <c r="K26" s="183">
        <f>('2b) Schedules'!$R$26*'2a), 4) Inputs'!$H$6)/Months_in_year</f>
        <v>0</v>
      </c>
      <c r="L26" s="183">
        <f>('2b) Schedules'!$R$26*'2a), 4) Inputs'!$H$6)/Months_in_year</f>
        <v>0</v>
      </c>
      <c r="M26" s="183">
        <f>('2b) Schedules'!$R$26*'2a), 4) Inputs'!$H$6)/Months_in_year</f>
        <v>0</v>
      </c>
      <c r="N26" s="186">
        <f>('2b) Schedules'!$R$26*'2a), 4) Inputs'!$H$6)/Months_in_year</f>
        <v>0</v>
      </c>
      <c r="O26" s="183">
        <f>'2b) Schedules'!$J$16/Months_in_year</f>
        <v>82840</v>
      </c>
      <c r="P26" s="183">
        <f>'2b) Schedules'!$J$16/Months_in_year</f>
        <v>82840</v>
      </c>
      <c r="Q26" s="183">
        <f>'2b) Schedules'!$J$16/Months_in_year</f>
        <v>82840</v>
      </c>
      <c r="R26" s="183">
        <f>'2b) Schedules'!$J$16/Months_in_year</f>
        <v>82840</v>
      </c>
      <c r="S26" s="183">
        <f>'2b) Schedules'!$J$16/Months_in_year</f>
        <v>82840</v>
      </c>
      <c r="T26" s="183">
        <f>'2b) Schedules'!$J$16/Months_in_year</f>
        <v>82840</v>
      </c>
      <c r="U26" s="183">
        <f>'2b) Schedules'!$J$16/Months_in_year</f>
        <v>82840</v>
      </c>
      <c r="V26" s="183">
        <f>'2b) Schedules'!$J$16/Months_in_year</f>
        <v>82840</v>
      </c>
      <c r="W26" s="183">
        <f>'2b) Schedules'!$J$16/Months_in_year</f>
        <v>82840</v>
      </c>
      <c r="X26" s="183">
        <f>'2b) Schedules'!$J$16/Months_in_year</f>
        <v>82840</v>
      </c>
      <c r="Y26" s="183">
        <f>'2b) Schedules'!$J$16/Months_in_year</f>
        <v>82840</v>
      </c>
      <c r="Z26" s="52"/>
    </row>
    <row r="27" spans="1:26">
      <c r="A27" s="204" t="s">
        <v>187</v>
      </c>
      <c r="B27" s="183">
        <f>'2a), 4) Inputs'!$E$18/Months_in_year</f>
        <v>0</v>
      </c>
      <c r="C27" s="183">
        <f>'2a), 4) Inputs'!$E$18/Months_in_year</f>
        <v>0</v>
      </c>
      <c r="D27" s="183">
        <f>'2a), 4) Inputs'!$E$18/Months_in_year</f>
        <v>0</v>
      </c>
      <c r="E27" s="183">
        <f>'2a), 4) Inputs'!$E$18/Months_in_year</f>
        <v>0</v>
      </c>
      <c r="F27" s="183">
        <f>'2a), 4) Inputs'!$E$18/Months_in_year</f>
        <v>0</v>
      </c>
      <c r="G27" s="183">
        <f>'2a), 4) Inputs'!$E$18/Months_in_year</f>
        <v>0</v>
      </c>
      <c r="H27" s="183">
        <f>'2a), 4) Inputs'!$E$18/Months_in_year</f>
        <v>0</v>
      </c>
      <c r="I27" s="183">
        <f>'2a), 4) Inputs'!$E$18/Months_in_year</f>
        <v>0</v>
      </c>
      <c r="J27" s="183">
        <f>'2a), 4) Inputs'!$E$18/Months_in_year</f>
        <v>0</v>
      </c>
      <c r="K27" s="183">
        <f>'2a), 4) Inputs'!$E$18/Months_in_year</f>
        <v>0</v>
      </c>
      <c r="L27" s="183">
        <f>'2a), 4) Inputs'!$E$18/Months_in_year</f>
        <v>0</v>
      </c>
      <c r="M27" s="183">
        <f>'2a), 4) Inputs'!$E$18/Months_in_year</f>
        <v>0</v>
      </c>
      <c r="N27" s="186">
        <f>('2a), 4) Inputs'!E17+'2a), 4) Inputs'!E18)/Months_in_year</f>
        <v>0</v>
      </c>
      <c r="O27" s="183">
        <f>(Employer_contribution+Employee_contribution)/Months_in_year</f>
        <v>53728.070175438595</v>
      </c>
      <c r="P27" s="183">
        <f t="shared" ref="P27:Y27" si="7">(Employer_contribution+Employee_contribution)/Months_in_year</f>
        <v>53728.070175438595</v>
      </c>
      <c r="Q27" s="183">
        <f t="shared" si="7"/>
        <v>53728.070175438595</v>
      </c>
      <c r="R27" s="183">
        <f t="shared" si="7"/>
        <v>53728.070175438595</v>
      </c>
      <c r="S27" s="183">
        <f t="shared" si="7"/>
        <v>53728.070175438595</v>
      </c>
      <c r="T27" s="183">
        <f t="shared" si="7"/>
        <v>53728.070175438595</v>
      </c>
      <c r="U27" s="183">
        <f t="shared" si="7"/>
        <v>53728.070175438595</v>
      </c>
      <c r="V27" s="183">
        <f t="shared" si="7"/>
        <v>53728.070175438595</v>
      </c>
      <c r="W27" s="183">
        <f t="shared" si="7"/>
        <v>53728.070175438595</v>
      </c>
      <c r="X27" s="183">
        <f t="shared" si="7"/>
        <v>53728.070175438595</v>
      </c>
      <c r="Y27" s="183">
        <f t="shared" si="7"/>
        <v>53728.070175438595</v>
      </c>
      <c r="Z27" s="84"/>
    </row>
    <row r="28" spans="1:26">
      <c r="A28" s="11" t="s">
        <v>121</v>
      </c>
      <c r="B28" s="188">
        <f>'2cd) Statements of Income Y1-Y5'!B28</f>
        <v>0</v>
      </c>
      <c r="C28" s="188">
        <f>'2cd) Statements of Income Y1-Y5'!C28</f>
        <v>0</v>
      </c>
      <c r="D28" s="188">
        <f>'2cd) Statements of Income Y1-Y5'!D28</f>
        <v>0</v>
      </c>
      <c r="E28" s="188">
        <f>'2cd) Statements of Income Y1-Y5'!E28</f>
        <v>0</v>
      </c>
      <c r="F28" s="188">
        <f>'2cd) Statements of Income Y1-Y5'!F28</f>
        <v>0</v>
      </c>
      <c r="G28" s="188">
        <f>'2cd) Statements of Income Y1-Y5'!G28</f>
        <v>0</v>
      </c>
      <c r="H28" s="188">
        <f>'2cd) Statements of Income Y1-Y5'!H28</f>
        <v>0</v>
      </c>
      <c r="I28" s="188">
        <f>'2cd) Statements of Income Y1-Y5'!I28</f>
        <v>0</v>
      </c>
      <c r="J28" s="188">
        <f>'2cd) Statements of Income Y1-Y5'!J28</f>
        <v>0</v>
      </c>
      <c r="K28" s="188">
        <f>'2cd) Statements of Income Y1-Y5'!K28</f>
        <v>0</v>
      </c>
      <c r="L28" s="188">
        <f>'2cd) Statements of Income Y1-Y5'!L28</f>
        <v>0</v>
      </c>
      <c r="M28" s="188">
        <f>'2cd) Statements of Income Y1-Y5'!M28</f>
        <v>0</v>
      </c>
      <c r="N28" s="187">
        <f>'2cd) Statements of Income Y1-Y5'!N28</f>
        <v>0</v>
      </c>
      <c r="O28" s="188">
        <f>'2cd) Statements of Income Y1-Y5'!O28</f>
        <v>0</v>
      </c>
      <c r="P28" s="188">
        <f>'2cd) Statements of Income Y1-Y5'!P28</f>
        <v>0</v>
      </c>
      <c r="Q28" s="188">
        <f>'2cd) Statements of Income Y1-Y5'!Q28</f>
        <v>0</v>
      </c>
      <c r="R28" s="188">
        <f>'2cd) Statements of Income Y1-Y5'!R28</f>
        <v>0</v>
      </c>
      <c r="S28" s="188">
        <f>'2cd) Statements of Income Y1-Y5'!S28</f>
        <v>0</v>
      </c>
      <c r="T28" s="188">
        <f>'2cd) Statements of Income Y1-Y5'!T28</f>
        <v>0</v>
      </c>
      <c r="U28" s="188">
        <f>'2cd) Statements of Income Y1-Y5'!U28</f>
        <v>0</v>
      </c>
      <c r="V28" s="188">
        <f>'2cd) Statements of Income Y1-Y5'!V28</f>
        <v>0</v>
      </c>
      <c r="W28" s="188">
        <f>'2cd) Statements of Income Y1-Y5'!W28</f>
        <v>0</v>
      </c>
      <c r="X28" s="188">
        <f>'2cd) Statements of Income Y1-Y5'!X28</f>
        <v>0</v>
      </c>
      <c r="Y28" s="188">
        <f>'2cd) Statements of Income Y1-Y5'!Y28</f>
        <v>0</v>
      </c>
      <c r="Z28" s="84"/>
    </row>
    <row r="29" spans="1:26">
      <c r="A29" s="10" t="s">
        <v>179</v>
      </c>
      <c r="B29" s="84">
        <f>SUM(B15:B28)</f>
        <v>20833333.333333332</v>
      </c>
      <c r="C29" s="84">
        <f t="shared" ref="C29:Y29" si="8">SUM(C15:C28)</f>
        <v>20833333.333333332</v>
      </c>
      <c r="D29" s="84">
        <f t="shared" si="8"/>
        <v>20833333.333333332</v>
      </c>
      <c r="E29" s="84">
        <f t="shared" si="8"/>
        <v>20833333.333333332</v>
      </c>
      <c r="F29" s="84">
        <f t="shared" si="8"/>
        <v>20833333.333333332</v>
      </c>
      <c r="G29" s="84">
        <f t="shared" si="8"/>
        <v>20833333.333333332</v>
      </c>
      <c r="H29" s="84">
        <f t="shared" si="8"/>
        <v>20833333.333333332</v>
      </c>
      <c r="I29" s="84">
        <f t="shared" si="8"/>
        <v>20833333.333333332</v>
      </c>
      <c r="J29" s="84">
        <f t="shared" si="8"/>
        <v>20833333.333333332</v>
      </c>
      <c r="K29" s="84">
        <f t="shared" si="8"/>
        <v>20833333.333333332</v>
      </c>
      <c r="L29" s="84">
        <f t="shared" si="8"/>
        <v>20833333.333333332</v>
      </c>
      <c r="M29" s="84">
        <f t="shared" si="8"/>
        <v>20833333.333333332</v>
      </c>
      <c r="N29" s="247">
        <f t="shared" si="8"/>
        <v>5121271.9298245609</v>
      </c>
      <c r="O29" s="84">
        <f t="shared" si="8"/>
        <v>58717685.995893218</v>
      </c>
      <c r="P29" s="84">
        <f t="shared" si="8"/>
        <v>54025105.571526349</v>
      </c>
      <c r="Q29" s="84">
        <f t="shared" si="8"/>
        <v>58717685.995893218</v>
      </c>
      <c r="R29" s="84">
        <f t="shared" si="8"/>
        <v>57011293.114305265</v>
      </c>
      <c r="S29" s="84">
        <f t="shared" si="8"/>
        <v>58717685.995893218</v>
      </c>
      <c r="T29" s="84">
        <f t="shared" si="8"/>
        <v>57011293.114305265</v>
      </c>
      <c r="U29" s="84">
        <f t="shared" si="8"/>
        <v>58717685.995893218</v>
      </c>
      <c r="V29" s="84">
        <f t="shared" si="8"/>
        <v>58717685.995893218</v>
      </c>
      <c r="W29" s="84">
        <f t="shared" si="8"/>
        <v>57011293.114305265</v>
      </c>
      <c r="X29" s="84">
        <f t="shared" si="8"/>
        <v>58717685.995893218</v>
      </c>
      <c r="Y29" s="84">
        <f t="shared" si="8"/>
        <v>72347835.404552266</v>
      </c>
      <c r="Z29" s="52"/>
    </row>
    <row r="30" spans="1:26" ht="15" customHeight="1">
      <c r="A30" s="11"/>
      <c r="B30" s="11"/>
      <c r="C30" s="11"/>
      <c r="M30" s="11"/>
      <c r="N30" s="29"/>
      <c r="O30" s="11"/>
    </row>
    <row r="31" spans="1:26">
      <c r="A31" s="10" t="s">
        <v>115</v>
      </c>
      <c r="B31" s="84">
        <f t="shared" ref="B31:Y31" si="9">B12-B29</f>
        <v>10000000</v>
      </c>
      <c r="C31" s="84">
        <f t="shared" si="9"/>
        <v>0</v>
      </c>
      <c r="D31" s="84">
        <f t="shared" si="9"/>
        <v>0</v>
      </c>
      <c r="E31" s="84">
        <f t="shared" si="9"/>
        <v>0</v>
      </c>
      <c r="F31" s="84">
        <f t="shared" si="9"/>
        <v>0</v>
      </c>
      <c r="G31" s="84">
        <f t="shared" si="9"/>
        <v>0</v>
      </c>
      <c r="H31" s="84">
        <f t="shared" si="9"/>
        <v>0</v>
      </c>
      <c r="I31" s="84">
        <f t="shared" si="9"/>
        <v>0</v>
      </c>
      <c r="J31" s="84">
        <f t="shared" si="9"/>
        <v>0</v>
      </c>
      <c r="K31" s="84">
        <f t="shared" si="9"/>
        <v>0</v>
      </c>
      <c r="L31" s="84">
        <f t="shared" si="9"/>
        <v>0</v>
      </c>
      <c r="M31" s="84">
        <f t="shared" si="9"/>
        <v>0</v>
      </c>
      <c r="N31" s="185">
        <f t="shared" si="9"/>
        <v>60031910.821715482</v>
      </c>
      <c r="O31" s="84">
        <f t="shared" si="9"/>
        <v>2634894.4284736589</v>
      </c>
      <c r="P31" s="84">
        <f t="shared" si="9"/>
        <v>13299849.938398361</v>
      </c>
      <c r="Q31" s="84">
        <f t="shared" si="9"/>
        <v>6435496.7556468248</v>
      </c>
      <c r="R31" s="84">
        <f t="shared" si="9"/>
        <v>10313662.395619445</v>
      </c>
      <c r="S31" s="84">
        <f t="shared" si="9"/>
        <v>6435496.7556468248</v>
      </c>
      <c r="T31" s="84">
        <f t="shared" si="9"/>
        <v>10313662.395619445</v>
      </c>
      <c r="U31" s="84">
        <f t="shared" si="9"/>
        <v>8607269.5140314922</v>
      </c>
      <c r="V31" s="84">
        <f t="shared" si="9"/>
        <v>6435496.7556468248</v>
      </c>
      <c r="W31" s="84">
        <f t="shared" si="9"/>
        <v>10313662.395619445</v>
      </c>
      <c r="X31" s="84">
        <f t="shared" si="9"/>
        <v>6435496.7556468248</v>
      </c>
      <c r="Y31" s="84">
        <f t="shared" si="9"/>
        <v>-5022879.8946275562</v>
      </c>
      <c r="Z31" s="52"/>
    </row>
    <row r="32" spans="1:26" ht="15.75" thickBot="1">
      <c r="A32" s="10" t="s">
        <v>116</v>
      </c>
      <c r="B32" s="191">
        <f t="shared" ref="B32:Y32" si="10">B7+B31</f>
        <v>10000000</v>
      </c>
      <c r="C32" s="191">
        <f t="shared" si="10"/>
        <v>10000000</v>
      </c>
      <c r="D32" s="191">
        <f t="shared" si="10"/>
        <v>10000000</v>
      </c>
      <c r="E32" s="191">
        <f t="shared" si="10"/>
        <v>10000000</v>
      </c>
      <c r="F32" s="191">
        <f t="shared" si="10"/>
        <v>10000000</v>
      </c>
      <c r="G32" s="191">
        <f t="shared" si="10"/>
        <v>10000000</v>
      </c>
      <c r="H32" s="191">
        <f t="shared" si="10"/>
        <v>10000000</v>
      </c>
      <c r="I32" s="191">
        <f t="shared" si="10"/>
        <v>10000000</v>
      </c>
      <c r="J32" s="191">
        <f t="shared" si="10"/>
        <v>10000000</v>
      </c>
      <c r="K32" s="191">
        <f t="shared" si="10"/>
        <v>10000000</v>
      </c>
      <c r="L32" s="191">
        <f t="shared" si="10"/>
        <v>10000000</v>
      </c>
      <c r="M32" s="191">
        <f t="shared" si="10"/>
        <v>10000000</v>
      </c>
      <c r="N32" s="190">
        <f t="shared" si="10"/>
        <v>70031910.821715474</v>
      </c>
      <c r="O32" s="191">
        <f t="shared" si="10"/>
        <v>72666805.250189126</v>
      </c>
      <c r="P32" s="191">
        <f t="shared" si="10"/>
        <v>85966655.188587487</v>
      </c>
      <c r="Q32" s="191">
        <f t="shared" si="10"/>
        <v>92402151.944234312</v>
      </c>
      <c r="R32" s="191">
        <f t="shared" si="10"/>
        <v>102715814.33985376</v>
      </c>
      <c r="S32" s="191">
        <f t="shared" si="10"/>
        <v>109151311.09550059</v>
      </c>
      <c r="T32" s="191">
        <f t="shared" si="10"/>
        <v>119464973.49112004</v>
      </c>
      <c r="U32" s="191">
        <f t="shared" si="10"/>
        <v>128072243.00515154</v>
      </c>
      <c r="V32" s="191">
        <f t="shared" si="10"/>
        <v>134507739.76079836</v>
      </c>
      <c r="W32" s="191">
        <f t="shared" si="10"/>
        <v>144821402.15641782</v>
      </c>
      <c r="X32" s="191">
        <f t="shared" si="10"/>
        <v>151256898.91206464</v>
      </c>
      <c r="Y32" s="191">
        <f t="shared" si="10"/>
        <v>146234019.0174371</v>
      </c>
      <c r="Z32" s="84"/>
    </row>
    <row r="33" spans="1:25" ht="15" customHeight="1" thickTop="1">
      <c r="A33" s="1"/>
      <c r="B33" s="11"/>
      <c r="C33" s="11"/>
      <c r="D33" s="11"/>
      <c r="E33" s="11"/>
      <c r="F33" s="11"/>
      <c r="G33" s="11"/>
      <c r="H33" s="11"/>
      <c r="I33" s="11"/>
      <c r="J33" s="11"/>
      <c r="K33" s="11"/>
      <c r="L33" s="11"/>
      <c r="M33" s="11"/>
      <c r="N33" s="11"/>
      <c r="O33" s="11"/>
      <c r="P33" s="11"/>
      <c r="Q33" s="11"/>
      <c r="R33" s="11"/>
      <c r="S33" s="11"/>
      <c r="T33" s="11"/>
      <c r="U33" s="11"/>
      <c r="V33" s="11"/>
      <c r="W33" s="11"/>
      <c r="X33" s="11"/>
      <c r="Y33" s="11"/>
    </row>
    <row r="35" spans="1:25" ht="15" customHeight="1">
      <c r="N35" s="1"/>
      <c r="O35" s="52"/>
    </row>
    <row r="36" spans="1:25">
      <c r="B36" s="5"/>
      <c r="N36" s="1"/>
    </row>
    <row r="37" spans="1:25" ht="15" customHeight="1">
      <c r="E37" s="52"/>
      <c r="O37" s="52"/>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33"/>
  <sheetViews>
    <sheetView workbookViewId="0">
      <selection activeCell="F44" sqref="F44"/>
    </sheetView>
  </sheetViews>
  <sheetFormatPr defaultColWidth="12.7109375" defaultRowHeight="15" customHeight="1"/>
  <cols>
    <col min="1" max="1" width="33.5703125" style="2" bestFit="1" customWidth="1"/>
    <col min="2" max="2" width="12.7109375" style="2"/>
    <col min="3" max="3" width="13.42578125" style="2" bestFit="1" customWidth="1"/>
    <col min="4" max="4" width="12" style="2" bestFit="1" customWidth="1"/>
    <col min="5" max="5" width="12.7109375" style="2"/>
    <col min="6" max="6" width="13.7109375" style="2" bestFit="1" customWidth="1"/>
    <col min="7" max="7" width="18.7109375" style="2" bestFit="1" customWidth="1"/>
    <col min="8" max="16384" width="12.7109375" style="2"/>
  </cols>
  <sheetData>
    <row r="1" spans="1:8" ht="15" customHeight="1">
      <c r="A1" s="182" t="s">
        <v>207</v>
      </c>
    </row>
    <row r="2" spans="1:8" ht="15" customHeight="1">
      <c r="A2" s="2" t="s">
        <v>101</v>
      </c>
    </row>
    <row r="3" spans="1:8" ht="15" customHeight="1">
      <c r="A3" s="54" t="s">
        <v>102</v>
      </c>
    </row>
    <row r="4" spans="1:8" ht="15" customHeight="1">
      <c r="A4" s="54"/>
      <c r="B4" s="11"/>
      <c r="C4" s="11"/>
      <c r="D4" s="11"/>
    </row>
    <row r="5" spans="1:8" ht="15" customHeight="1">
      <c r="A5" s="10"/>
      <c r="B5" s="207">
        <v>3</v>
      </c>
      <c r="C5" s="207">
        <v>4</v>
      </c>
      <c r="D5" s="207">
        <v>5</v>
      </c>
      <c r="E5" s="11"/>
    </row>
    <row r="6" spans="1:8" ht="15" customHeight="1">
      <c r="A6" s="1" t="s">
        <v>77</v>
      </c>
      <c r="B6" s="5">
        <f>'2c), 3) Cash Budgets, Y1-Y2'!Y32</f>
        <v>146234019.0174371</v>
      </c>
      <c r="C6" s="5">
        <f>B32</f>
        <v>231094646.42681921</v>
      </c>
      <c r="D6" s="5">
        <f>C32</f>
        <v>317751064.88233852</v>
      </c>
    </row>
    <row r="8" spans="1:8" ht="15" customHeight="1">
      <c r="A8" s="1" t="s">
        <v>176</v>
      </c>
      <c r="B8" s="5"/>
      <c r="C8" s="5"/>
      <c r="D8" s="5"/>
    </row>
    <row r="9" spans="1:8" ht="15" customHeight="1">
      <c r="A9" s="2" t="s">
        <v>79</v>
      </c>
      <c r="B9" s="254"/>
      <c r="C9" s="254"/>
      <c r="D9" s="254"/>
      <c r="F9" s="5"/>
    </row>
    <row r="10" spans="1:8" ht="15" customHeight="1">
      <c r="A10" s="11" t="s">
        <v>105</v>
      </c>
      <c r="B10" s="178" cm="1">
        <f t="array" ref="B10">_xlfn.XLOOKUP(B5-1,'2b) Schedules'!$Q$6:$Q$10,'2b) Schedules'!$R$6:$R$10*(Increment/Days_in_year)+_xlfn.XLOOKUP(B5,'2b) Schedules'!$Q$6:$Q$10,'2b) Schedules'!$R$6:$R$10)*(Days_in_year-Increment)/Days_in_year)</f>
        <v>809120694.66187525</v>
      </c>
      <c r="C10" s="178">
        <f>_xlfn.XLOOKUP(C5-1,'2b) Schedules'!$Q$6:$Q$10,'2b) Schedules'!$R$6:$R$10)*(Increment/Days_in_year)+_xlfn.XLOOKUP(C5,'2b) Schedules'!$Q$6:$Q$10,'2b) Schedules'!$R$6:$R$10)*(Days_in_year-Increment)/Days_in_year</f>
        <v>825363792.60721219</v>
      </c>
      <c r="D10" s="178">
        <f>_xlfn.XLOOKUP(D5-1,'2b) Schedules'!$Q$6:$Q$10,'2b) Schedules'!$R$6:$R$10)*(Increment/Days_in_year)+_xlfn.XLOOKUP(D5,'2b) Schedules'!$Q$6:$Q$10,'2b) Schedules'!$R$6:$R$10)*(Days_in_year-Increment)/Days_in_year</f>
        <v>841932970.74380183</v>
      </c>
      <c r="G10" s="1"/>
    </row>
    <row r="11" spans="1:8" ht="15" customHeight="1">
      <c r="A11" s="10" t="s">
        <v>178</v>
      </c>
      <c r="B11" s="192">
        <f>SUM(B9:B10)</f>
        <v>809120694.66187525</v>
      </c>
      <c r="C11" s="192">
        <f t="shared" ref="C11:D11" si="0">SUM(C9:C10)</f>
        <v>825363792.60721219</v>
      </c>
      <c r="D11" s="192">
        <f t="shared" si="0"/>
        <v>841932970.74380183</v>
      </c>
      <c r="E11" s="11"/>
    </row>
    <row r="12" spans="1:8" ht="15" customHeight="1">
      <c r="B12" s="9"/>
      <c r="C12" s="9"/>
      <c r="D12" s="9"/>
      <c r="E12" s="11"/>
    </row>
    <row r="13" spans="1:8" ht="15" customHeight="1">
      <c r="A13" s="1" t="s">
        <v>177</v>
      </c>
      <c r="B13" s="5"/>
      <c r="C13" s="5"/>
      <c r="D13" s="5"/>
      <c r="E13" s="53"/>
    </row>
    <row r="14" spans="1:8" ht="15" customHeight="1">
      <c r="A14" s="2" t="s">
        <v>106</v>
      </c>
      <c r="B14" s="255"/>
      <c r="C14" s="255"/>
      <c r="D14" s="255"/>
      <c r="F14" s="83"/>
      <c r="H14" s="5"/>
    </row>
    <row r="15" spans="1:8" ht="15" customHeight="1">
      <c r="A15" s="2" t="s">
        <v>87</v>
      </c>
      <c r="B15" s="181">
        <f>('2b) Schedules'!S8-('2b) Schedules'!S8/Days_in_year)*'2a), 4) Inputs'!K16)+('2b) Schedules'!K35)</f>
        <v>634710013.54996562</v>
      </c>
      <c r="C15" s="181">
        <f>('2b) Schedules'!S9-(('2b) Schedules'!S9/Days_in_year)*'2a), 4) Inputs'!K16)+('2b) Schedules'!S8/Days_in_year)*'2a), 4) Inputs'!K16)</f>
        <v>647451817.07198107</v>
      </c>
      <c r="D15" s="181">
        <f>'2b) Schedules'!S10-(('2b) Schedules'!S10/Days_in_year)*'2a), 4) Inputs'!K16)+('2b) Schedules'!S9/Days_in_year)*'2a), 4) Inputs'!K16</f>
        <v>660449412.29970098</v>
      </c>
      <c r="E15" s="53"/>
    </row>
    <row r="16" spans="1:8" ht="15" customHeight="1">
      <c r="A16" s="54" t="s">
        <v>107</v>
      </c>
      <c r="B16" s="5"/>
      <c r="C16" s="5"/>
      <c r="D16" s="5"/>
    </row>
    <row r="17" spans="1:10" ht="15" customHeight="1">
      <c r="A17" s="2" t="s">
        <v>114</v>
      </c>
      <c r="B17" s="181">
        <f>_xlfn.XLOOKUP(B$5,'2b) Schedules'!$H$6:$H$10,'2b) Schedules'!$N$6:$N$10)</f>
        <v>34287000</v>
      </c>
      <c r="C17" s="181">
        <f>_xlfn.XLOOKUP(C$5,'2b) Schedules'!$H$6:$H$10,'2b) Schedules'!$N$6:$N$10)</f>
        <v>35624193</v>
      </c>
      <c r="D17" s="181">
        <f>_xlfn.XLOOKUP(D$5,'2b) Schedules'!$H$6:$H$10,'2b) Schedules'!$N$6:$N$10)</f>
        <v>71248386</v>
      </c>
      <c r="E17" s="53"/>
      <c r="H17" s="5"/>
    </row>
    <row r="18" spans="1:10" ht="15" customHeight="1">
      <c r="A18" s="2" t="s">
        <v>109</v>
      </c>
      <c r="B18" s="181">
        <f>'2b) Schedules'!K17*Deferred_year+'2b) Schedules'!K16/Months_in_year</f>
        <v>24514416.66666666</v>
      </c>
      <c r="C18" s="181">
        <f>'2b) Schedules'!K18*Deferred_year+'2b) Schedules'!K17/Months_in_year</f>
        <v>25108503.29166666</v>
      </c>
      <c r="D18" s="181">
        <f>'2b) Schedules'!K19*Deferred_year+'2b) Schedules'!K18/Months_in_year</f>
        <v>25504018.29937499</v>
      </c>
      <c r="E18" s="53"/>
      <c r="F18" s="5"/>
    </row>
    <row r="19" spans="1:10" ht="15" customHeight="1">
      <c r="A19" s="2" t="s">
        <v>300</v>
      </c>
      <c r="B19" s="178">
        <f>_xlfn.XLOOKUP(B5,'2b) Schedules'!$A$7:$A$36,'2b) Schedules'!$D$7:$D$36)</f>
        <v>15336542.290246988</v>
      </c>
      <c r="C19" s="178">
        <f>_xlfn.XLOOKUP(C5,'2b) Schedules'!$A$7:$A$36,'2b) Schedules'!$D$7:$D$36)</f>
        <v>15336542.290246988</v>
      </c>
      <c r="D19" s="178">
        <f>_xlfn.XLOOKUP(D5,'2b) Schedules'!$A$7:$A$36,'2b) Schedules'!$D$7:$D$36)</f>
        <v>15336542.290246988</v>
      </c>
      <c r="E19" s="69"/>
    </row>
    <row r="20" spans="1:10" ht="15" customHeight="1">
      <c r="A20" s="2" t="s">
        <v>111</v>
      </c>
      <c r="B20" s="181">
        <f>(_xlfn.XLOOKUP(B$5,'2b) Schedules'!$H$15:$H$19,'2b) Schedules'!$L$15:$L$19)*Deferred_year)+'2b) Schedules'!$L$16/Months_in_year</f>
        <v>4457166.6666666651</v>
      </c>
      <c r="C20" s="181">
        <f>(_xlfn.XLOOKUP(C$5,'2b) Schedules'!$H$15:$H$19,'2b) Schedules'!$L$15:$L$19)*Deferred_year)+'2b) Schedules'!$L$17/Months_in_year</f>
        <v>4565182.4166666651</v>
      </c>
      <c r="D20" s="181">
        <f>(_xlfn.XLOOKUP(D$5,'2b) Schedules'!$H$15:$H$19,'2b) Schedules'!$L$15:$L$19)*Deferred_year)+'2b) Schedules'!$L$18/Months_in_year</f>
        <v>4637094.2362499982</v>
      </c>
      <c r="E20" s="69"/>
    </row>
    <row r="21" spans="1:10" ht="15" customHeight="1">
      <c r="A21" s="57" t="s">
        <v>188</v>
      </c>
      <c r="B21" s="181">
        <f>'2a), 4) Inputs'!E38*(Increment+Inflation_rate)</f>
        <v>2898092.1052631568</v>
      </c>
      <c r="C21" s="181">
        <f>'2a), 4) Inputs'!E38*(Increment+Inflation_rate)*(Increment+Inflation_rate)</f>
        <v>2941563.4868421038</v>
      </c>
      <c r="D21" s="181">
        <f>'2a), 4) Inputs'!E38*(Increment+Inflation_rate)*(Increment+Inflation_rate)*(Increment+Inflation_rate)</f>
        <v>2985686.9391447352</v>
      </c>
      <c r="E21" s="69"/>
    </row>
    <row r="22" spans="1:10" ht="15" customHeight="1">
      <c r="A22" s="2" t="s">
        <v>112</v>
      </c>
      <c r="B22" s="181">
        <f>_xlfn.XLOOKUP(B$5,'2b) Schedules'!$H$7:$H$35,'2b) Schedules'!$L$7:$L$35)</f>
        <v>2029999.9999999998</v>
      </c>
      <c r="C22" s="181">
        <f>_xlfn.XLOOKUP(C$5,'2b) Schedules'!$H$7:$H$35,'2b) Schedules'!$L$7:$L$35)</f>
        <v>2060449.9999999995</v>
      </c>
      <c r="D22" s="181">
        <f>_xlfn.XLOOKUP(D$5,'2b) Schedules'!$H$7:$H$35,'2b) Schedules'!$L$7:$L$35)</f>
        <v>2091356.7499999993</v>
      </c>
      <c r="E22" s="5"/>
      <c r="F22" s="5"/>
      <c r="G22" s="5"/>
      <c r="H22" s="5"/>
      <c r="I22" s="5"/>
      <c r="J22" s="5"/>
    </row>
    <row r="23" spans="1:10" ht="15" customHeight="1">
      <c r="A23" s="2" t="s">
        <v>113</v>
      </c>
      <c r="B23" s="181">
        <f>_xlfn.XLOOKUP(B$5,'2b) Schedules'!$H$6:$H$10,'2b) Schedules'!$M$6:$M$10)</f>
        <v>2029999.9999999998</v>
      </c>
      <c r="C23" s="181">
        <f>_xlfn.XLOOKUP(C$5,'2b) Schedules'!$H$6:$H$10,'2b) Schedules'!$M$6:$M$10)</f>
        <v>2060449.9999999995</v>
      </c>
      <c r="D23" s="181">
        <f>_xlfn.XLOOKUP(D$5,'2b) Schedules'!$H$6:$H$10,'2b) Schedules'!$M$6:$M$10)</f>
        <v>2091356.7499999993</v>
      </c>
      <c r="E23" s="5"/>
      <c r="F23" s="5"/>
      <c r="G23" s="5"/>
      <c r="H23" s="5"/>
    </row>
    <row r="24" spans="1:10" ht="15" customHeight="1">
      <c r="A24" s="53" t="s">
        <v>108</v>
      </c>
      <c r="B24" s="181">
        <f>_xlfn.XLOOKUP(B$5,'2b) Schedules'!$H$7:$H$35,'2b) Schedules'!$I$7:$I$35)</f>
        <v>1826999.9999999998</v>
      </c>
      <c r="C24" s="181">
        <f>_xlfn.XLOOKUP(C$5,'2b) Schedules'!$H$7:$H$35,'2b) Schedules'!$I$7:$I$35)</f>
        <v>1854404.9999999995</v>
      </c>
      <c r="D24" s="181">
        <f>_xlfn.XLOOKUP(D$5,'2b) Schedules'!$H$7:$H$35,'2b) Schedules'!$I$7:$I$35)</f>
        <v>1882221.0749999993</v>
      </c>
    </row>
    <row r="25" spans="1:10" ht="15" customHeight="1">
      <c r="A25" s="2" t="s">
        <v>110</v>
      </c>
      <c r="B25" s="181">
        <f>(_xlfn.XLOOKUP(B$5,'2b) Schedules'!$H$15:$H$19,'2b) Schedules'!$J$15:$J$19)*Deferred_year)+'2b) Schedules'!$J$16/Months_in_year</f>
        <v>1016234</v>
      </c>
      <c r="C25" s="181">
        <f>(_xlfn.XLOOKUP(C$5,'2b) Schedules'!$H$15:$H$19,'2b) Schedules'!$J$15:$J$19)*Deferred_year)+((_xlfn.XLOOKUP(B$5,'2b) Schedules'!$H$15:$H$19,'2b) Schedules'!$J$15:$J$19)/Months_in_year))</f>
        <v>1040861.5909999998</v>
      </c>
      <c r="D25" s="181">
        <f>(_xlfn.XLOOKUP(D$5,'2b) Schedules'!$H$15:$H$19,'2b) Schedules'!$J$15:$J$19)*Deferred_year)+((_xlfn.XLOOKUP(C$5,'2b) Schedules'!$H$15:$H$19,'2b) Schedules'!$J$15:$J$19)/Months_in_year))</f>
        <v>1057257.4858649997</v>
      </c>
    </row>
    <row r="26" spans="1:10" ht="15" customHeight="1">
      <c r="A26" s="57" t="s">
        <v>187</v>
      </c>
      <c r="B26" s="181">
        <f>((Employee_contribution+Employer_contribution)/Months_in_year)+((Employee_contribution+Employer_contribution)*(Increment+Inflation_rate)*Deferred_year)</f>
        <v>653601.97368421033</v>
      </c>
      <c r="C26" s="181">
        <f>(((Employee_contribution+Employer_contribution)*(Increment+Inflation_rate))/Months_in_year)+((Employee_contribution+Employer_contribution)*(Increment+Inflation_rate)*(Increment+Inflation_rate)*Deferred_year)</f>
        <v>663406.00328947348</v>
      </c>
      <c r="D26" s="181">
        <f>(((Employee_contribution+Employer_contribution)*(Increment+Inflation_rate)*(Increment+Inflation_rate))/Months_in_year)+((Employee_contribution+Employer_contribution)*(Increment+Inflation_rate)*(Increment+Inflation_rate)*(Increment+Inflation_rate)*Deferred_year)</f>
        <v>673357.0933388155</v>
      </c>
    </row>
    <row r="27" spans="1:10" ht="15" customHeight="1">
      <c r="A27" s="11" t="s">
        <v>193</v>
      </c>
      <c r="B27" s="178">
        <f>Port_Damage_Expense</f>
        <v>499999.99999999988</v>
      </c>
      <c r="C27" s="256"/>
      <c r="D27" s="254"/>
    </row>
    <row r="28" spans="1:10" ht="15" customHeight="1">
      <c r="A28" s="204" t="s">
        <v>305</v>
      </c>
      <c r="B28" s="178">
        <f>'2cd) Statements of Income Y1-Y5'!B58</f>
        <v>0</v>
      </c>
      <c r="C28" s="181">
        <f>'2cd) Statements of Income Y1-Y5'!C58</f>
        <v>0</v>
      </c>
      <c r="D28" s="181">
        <f>'2cd) Statements of Income Y1-Y5'!D58</f>
        <v>0</v>
      </c>
    </row>
    <row r="29" spans="1:10" ht="15" customHeight="1">
      <c r="A29" s="10" t="s">
        <v>179</v>
      </c>
      <c r="B29" s="192">
        <f>SUM(B14:B28)</f>
        <v>724260067.25249314</v>
      </c>
      <c r="C29" s="192">
        <f>SUM(C14:C28)</f>
        <v>738707374.15169287</v>
      </c>
      <c r="D29" s="192">
        <f>SUM(D14:D28)</f>
        <v>787956689.21892154</v>
      </c>
      <c r="E29" s="11"/>
    </row>
    <row r="30" spans="1:10" ht="15" customHeight="1">
      <c r="B30" s="11"/>
      <c r="C30" s="11"/>
      <c r="D30" s="11"/>
      <c r="E30" s="11"/>
    </row>
    <row r="31" spans="1:10" ht="15" customHeight="1">
      <c r="A31" s="10" t="s">
        <v>117</v>
      </c>
      <c r="B31" s="9">
        <f>B11-B29</f>
        <v>84860627.409382105</v>
      </c>
      <c r="C31" s="9">
        <f>C11-C29</f>
        <v>86656418.455519319</v>
      </c>
      <c r="D31" s="9">
        <f>D11-D29</f>
        <v>53976281.52488029</v>
      </c>
      <c r="E31" s="189"/>
    </row>
    <row r="32" spans="1:10" ht="15" customHeight="1" thickBot="1">
      <c r="A32" s="10" t="s">
        <v>118</v>
      </c>
      <c r="B32" s="193">
        <f>B6+B31</f>
        <v>231094646.42681921</v>
      </c>
      <c r="C32" s="193">
        <f>C6+C31</f>
        <v>317751064.88233852</v>
      </c>
      <c r="D32" s="193">
        <f>D6+D31</f>
        <v>371727346.40721881</v>
      </c>
      <c r="E32" s="189"/>
    </row>
    <row r="33" spans="2:4" ht="15" customHeight="1" thickTop="1">
      <c r="B33" s="11"/>
      <c r="C33" s="11"/>
      <c r="D33" s="11"/>
    </row>
  </sheetData>
  <conditionalFormatting sqref="B32:D32">
    <cfRule type="cellIs" dxfId="1" priority="1" operator="lessThan">
      <formula>10000000</formula>
    </cfRule>
  </conditionalFormatting>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3"/>
  <sheetViews>
    <sheetView topLeftCell="B9" zoomScale="115" zoomScaleNormal="115" workbookViewId="0">
      <selection activeCell="J59" sqref="J59"/>
    </sheetView>
  </sheetViews>
  <sheetFormatPr defaultColWidth="12.7109375" defaultRowHeight="15" customHeight="1"/>
  <cols>
    <col min="1" max="1" width="33.5703125" style="2" bestFit="1" customWidth="1"/>
    <col min="2" max="3" width="14.7109375" style="2" bestFit="1" customWidth="1"/>
    <col min="4" max="4" width="14.5703125" style="2" bestFit="1" customWidth="1"/>
    <col min="5" max="13" width="12.28515625" style="2" bestFit="1" customWidth="1"/>
    <col min="14" max="25" width="13.42578125" style="2" bestFit="1" customWidth="1"/>
    <col min="26" max="26" width="8.7109375" style="2" customWidth="1"/>
    <col min="27" max="16384" width="12.7109375" style="2"/>
  </cols>
  <sheetData>
    <row r="1" spans="1:26" ht="17.25">
      <c r="A1" s="182" t="s">
        <v>207</v>
      </c>
    </row>
    <row r="2" spans="1:26">
      <c r="A2" s="2" t="s">
        <v>294</v>
      </c>
    </row>
    <row r="3" spans="1:26">
      <c r="A3" s="54" t="s">
        <v>102</v>
      </c>
    </row>
    <row r="4" spans="1:26" ht="15" customHeight="1">
      <c r="B4" s="11"/>
    </row>
    <row r="5" spans="1:26">
      <c r="A5" s="11"/>
      <c r="B5" s="194" t="s">
        <v>103</v>
      </c>
      <c r="C5" s="11"/>
      <c r="N5" s="122" t="s">
        <v>104</v>
      </c>
    </row>
    <row r="6" spans="1:26">
      <c r="A6" s="11"/>
      <c r="B6" s="120" t="s">
        <v>60</v>
      </c>
      <c r="C6" s="55" t="s">
        <v>61</v>
      </c>
      <c r="D6" s="55" t="s">
        <v>62</v>
      </c>
      <c r="E6" s="55" t="s">
        <v>63</v>
      </c>
      <c r="F6" s="55" t="s">
        <v>65</v>
      </c>
      <c r="G6" s="55" t="s">
        <v>66</v>
      </c>
      <c r="H6" s="55" t="s">
        <v>68</v>
      </c>
      <c r="I6" s="55" t="s">
        <v>70</v>
      </c>
      <c r="J6" s="55" t="s">
        <v>71</v>
      </c>
      <c r="K6" s="55" t="s">
        <v>72</v>
      </c>
      <c r="L6" s="55" t="s">
        <v>73</v>
      </c>
      <c r="M6" s="55" t="s">
        <v>74</v>
      </c>
      <c r="N6" s="92" t="s">
        <v>60</v>
      </c>
      <c r="O6" s="55" t="s">
        <v>61</v>
      </c>
      <c r="P6" s="55" t="s">
        <v>62</v>
      </c>
      <c r="Q6" s="55" t="s">
        <v>63</v>
      </c>
      <c r="R6" s="55" t="s">
        <v>65</v>
      </c>
      <c r="S6" s="55" t="s">
        <v>66</v>
      </c>
      <c r="T6" s="55" t="s">
        <v>68</v>
      </c>
      <c r="U6" s="55" t="s">
        <v>70</v>
      </c>
      <c r="V6" s="55" t="s">
        <v>71</v>
      </c>
      <c r="W6" s="55" t="s">
        <v>72</v>
      </c>
      <c r="X6" s="55" t="s">
        <v>73</v>
      </c>
      <c r="Y6" s="55" t="s">
        <v>74</v>
      </c>
      <c r="Z6" s="69"/>
    </row>
    <row r="7" spans="1:26">
      <c r="A7" s="11" t="s">
        <v>119</v>
      </c>
      <c r="B7" s="199">
        <f>_xlfn.XLOOKUP(B6,'2a), 4) Inputs'!$J$5:$J$16,'2a), 4) Inputs'!$K$5:$K$16)*('2a), 4) Inputs'!$E$6/Days_in_year)*Selling_price_LNG_Y2</f>
        <v>0</v>
      </c>
      <c r="C7" s="199">
        <f>_xlfn.XLOOKUP(C6,'2a), 4) Inputs'!$J$5:$J$16,'2a), 4) Inputs'!$K$5:$K$16)*('2a), 4) Inputs'!$E$6/Days_in_year)*Selling_price_LNG_Y2</f>
        <v>0</v>
      </c>
      <c r="D7" s="199">
        <f>_xlfn.XLOOKUP(D6,'2a), 4) Inputs'!$J$5:$J$16,'2a), 4) Inputs'!$K$5:$K$16)*('2a), 4) Inputs'!$E$6/Days_in_year)*Selling_price_LNG_Y2</f>
        <v>0</v>
      </c>
      <c r="E7" s="199">
        <f>_xlfn.XLOOKUP(E6,'2a), 4) Inputs'!$J$5:$J$16,'2a), 4) Inputs'!$K$5:$K$16)*('2a), 4) Inputs'!$E$6/Days_in_year)*Selling_price_LNG_Y2</f>
        <v>0</v>
      </c>
      <c r="F7" s="199">
        <f>_xlfn.XLOOKUP(F6,'2a), 4) Inputs'!$J$5:$J$16,'2a), 4) Inputs'!$K$5:$K$16)*('2a), 4) Inputs'!$E$6/Days_in_year)*Selling_price_LNG_Y2</f>
        <v>0</v>
      </c>
      <c r="G7" s="199">
        <f>_xlfn.XLOOKUP(G6,'2a), 4) Inputs'!$J$5:$J$16,'2a), 4) Inputs'!$K$5:$K$16)*('2a), 4) Inputs'!$E$6/Days_in_year)*Selling_price_LNG_Y2</f>
        <v>0</v>
      </c>
      <c r="H7" s="199">
        <f>_xlfn.XLOOKUP(H6,'2a), 4) Inputs'!$J$5:$J$16,'2a), 4) Inputs'!$K$5:$K$16)*('2a), 4) Inputs'!$E$6/Days_in_year)*Selling_price_LNG_Y2</f>
        <v>0</v>
      </c>
      <c r="I7" s="199">
        <f>_xlfn.XLOOKUP(I6,'2a), 4) Inputs'!$J$5:$J$16,'2a), 4) Inputs'!$K$5:$K$16)*('2a), 4) Inputs'!$E$6/Days_in_year)*Selling_price_LNG_Y2</f>
        <v>0</v>
      </c>
      <c r="J7" s="199">
        <f>_xlfn.XLOOKUP(J6,'2a), 4) Inputs'!$J$5:$J$16,'2a), 4) Inputs'!$K$5:$K$16)*('2a), 4) Inputs'!$E$6/Days_in_year)*Selling_price_LNG_Y2</f>
        <v>0</v>
      </c>
      <c r="K7" s="199">
        <f>_xlfn.XLOOKUP(K6,'2a), 4) Inputs'!$J$5:$J$16,'2a), 4) Inputs'!$K$5:$K$16)*('2a), 4) Inputs'!$E$6/Days_in_year)*Selling_price_LNG_Y2</f>
        <v>0</v>
      </c>
      <c r="L7" s="199">
        <f>_xlfn.XLOOKUP(L6,'2a), 4) Inputs'!$J$5:$J$16,'2a), 4) Inputs'!$K$5:$K$16)*('2a), 4) Inputs'!$E$6/Days_in_year)*Selling_price_LNG_Y2</f>
        <v>0</v>
      </c>
      <c r="M7" s="199">
        <f>_xlfn.XLOOKUP(M6,'2a), 4) Inputs'!$J$5:$J$16,'2a), 4) Inputs'!$K$5:$K$16)*('2a), 4) Inputs'!$E$6/Days_in_year)*Selling_price_LNG_Y2</f>
        <v>0</v>
      </c>
      <c r="N7" s="200">
        <f>_xlfn.XLOOKUP(N6,'2a), 4) Inputs'!$J$5:$J$16,'2a), 4) Inputs'!$K$5:$K$16)*Daily_demand_LNG_Y2*Selling_price_LNG_Y2</f>
        <v>67324955.50992471</v>
      </c>
      <c r="O7" s="199">
        <f>_xlfn.XLOOKUP(O6,'2a), 4) Inputs'!$J$5:$J$16,'2a), 4) Inputs'!$K$5:$K$16)*Daily_demand_LNG_Y2*Selling_price_LNG_Y2</f>
        <v>61352580.424366876</v>
      </c>
      <c r="P7" s="199">
        <f>_xlfn.XLOOKUP(P6,'2a), 4) Inputs'!$J$5:$J$16,'2a), 4) Inputs'!$K$5:$K$16)*Daily_demand_LNG_Y2*Selling_price_LNG_Y2</f>
        <v>67324955.50992471</v>
      </c>
      <c r="Q7" s="199">
        <f>_xlfn.XLOOKUP(Q6,'2a), 4) Inputs'!$J$5:$J$16,'2a), 4) Inputs'!$K$5:$K$16)*Daily_demand_LNG_Y2*Selling_price_LNG_Y2</f>
        <v>65153182.751540042</v>
      </c>
      <c r="R7" s="199">
        <f>_xlfn.XLOOKUP(R6,'2a), 4) Inputs'!$J$5:$J$16,'2a), 4) Inputs'!$K$5:$K$16)*Daily_demand_LNG_Y2*Selling_price_LNG_Y2</f>
        <v>67324955.50992471</v>
      </c>
      <c r="S7" s="199">
        <f>_xlfn.XLOOKUP(S6,'2a), 4) Inputs'!$J$5:$J$16,'2a), 4) Inputs'!$K$5:$K$16)*Daily_demand_LNG_Y2*Selling_price_LNG_Y2</f>
        <v>65153182.751540042</v>
      </c>
      <c r="T7" s="199">
        <f>_xlfn.XLOOKUP(T6,'2a), 4) Inputs'!$J$5:$J$16,'2a), 4) Inputs'!$K$5:$K$16)*Daily_demand_LNG_Y2*Selling_price_LNG_Y2</f>
        <v>67324955.50992471</v>
      </c>
      <c r="U7" s="199">
        <f>_xlfn.XLOOKUP(U6,'2a), 4) Inputs'!$J$5:$J$16,'2a), 4) Inputs'!$K$5:$K$16)*Daily_demand_LNG_Y2*Selling_price_LNG_Y2</f>
        <v>67324955.50992471</v>
      </c>
      <c r="V7" s="199">
        <f>_xlfn.XLOOKUP(V6,'2a), 4) Inputs'!$J$5:$J$16,'2a), 4) Inputs'!$K$5:$K$16)*Daily_demand_LNG_Y2*Selling_price_LNG_Y2</f>
        <v>65153182.751540042</v>
      </c>
      <c r="W7" s="199">
        <f>_xlfn.XLOOKUP(W6,'2a), 4) Inputs'!$J$5:$J$16,'2a), 4) Inputs'!$K$5:$K$16)*Daily_demand_LNG_Y2*Selling_price_LNG_Y2</f>
        <v>67324955.50992471</v>
      </c>
      <c r="X7" s="199">
        <f>_xlfn.XLOOKUP(X6,'2a), 4) Inputs'!$J$5:$J$16,'2a), 4) Inputs'!$K$5:$K$16)*Daily_demand_LNG_Y2*Selling_price_LNG_Y2</f>
        <v>65153182.751540042</v>
      </c>
      <c r="Y7" s="199">
        <f>_xlfn.XLOOKUP(Y6,'2a), 4) Inputs'!$J$5:$J$16,'2a), 4) Inputs'!$K$5:$K$16)*Daily_demand_LNG_Y2*Selling_price_LNG_Y2</f>
        <v>67324955.50992471</v>
      </c>
    </row>
    <row r="8" spans="1:26">
      <c r="A8" s="11" t="s">
        <v>296</v>
      </c>
      <c r="B8" s="201">
        <f>_xlfn.XLOOKUP(B6,'2a), 4) Inputs'!$J$5:$J$16,'2a), 4) Inputs'!$K$5:$K$16)*('2a), 4) Inputs'!$E$6/Days_in_year)*Purchase_cost_LNG</f>
        <v>0</v>
      </c>
      <c r="C8" s="201">
        <f>_xlfn.XLOOKUP(C6,'2a), 4) Inputs'!$J$5:$J$16,'2a), 4) Inputs'!$K$5:$K$16)*('2a), 4) Inputs'!$E$6/Days_in_year)*Purchase_cost_LNG</f>
        <v>0</v>
      </c>
      <c r="D8" s="201">
        <f>_xlfn.XLOOKUP(D6,'2a), 4) Inputs'!$J$5:$J$16,'2a), 4) Inputs'!$K$5:$K$16)*('2a), 4) Inputs'!$E$6/Days_in_year)*Purchase_cost_LNG</f>
        <v>0</v>
      </c>
      <c r="E8" s="201">
        <f>_xlfn.XLOOKUP(E6,'2a), 4) Inputs'!$J$5:$J$16,'2a), 4) Inputs'!$K$5:$K$16)*('2a), 4) Inputs'!$E$6/Days_in_year)*Purchase_cost_LNG</f>
        <v>0</v>
      </c>
      <c r="F8" s="201">
        <f>_xlfn.XLOOKUP(F6,'2a), 4) Inputs'!$J$5:$J$16,'2a), 4) Inputs'!$K$5:$K$16)*('2a), 4) Inputs'!$E$6/Days_in_year)*Purchase_cost_LNG</f>
        <v>0</v>
      </c>
      <c r="G8" s="201">
        <f>_xlfn.XLOOKUP(G6,'2a), 4) Inputs'!$J$5:$J$16,'2a), 4) Inputs'!$K$5:$K$16)*('2a), 4) Inputs'!$E$6/Days_in_year)*Purchase_cost_LNG</f>
        <v>0</v>
      </c>
      <c r="H8" s="201">
        <f>_xlfn.XLOOKUP(H6,'2a), 4) Inputs'!$J$5:$J$16,'2a), 4) Inputs'!$K$5:$K$16)*('2a), 4) Inputs'!$E$6/Days_in_year)*Purchase_cost_LNG</f>
        <v>0</v>
      </c>
      <c r="I8" s="201">
        <f>_xlfn.XLOOKUP(I6,'2a), 4) Inputs'!$J$5:$J$16,'2a), 4) Inputs'!$K$5:$K$16)*('2a), 4) Inputs'!$E$6/Days_in_year)*Purchase_cost_LNG</f>
        <v>0</v>
      </c>
      <c r="J8" s="201">
        <f>_xlfn.XLOOKUP(J6,'2a), 4) Inputs'!$J$5:$J$16,'2a), 4) Inputs'!$K$5:$K$16)*('2a), 4) Inputs'!$E$6/Days_in_year)*Purchase_cost_LNG</f>
        <v>0</v>
      </c>
      <c r="K8" s="201">
        <f>_xlfn.XLOOKUP(K6,'2a), 4) Inputs'!$J$5:$J$16,'2a), 4) Inputs'!$K$5:$K$16)*('2a), 4) Inputs'!$E$6/Days_in_year)*Purchase_cost_LNG</f>
        <v>0</v>
      </c>
      <c r="L8" s="201">
        <f>_xlfn.XLOOKUP(L6,'2a), 4) Inputs'!$J$5:$J$16,'2a), 4) Inputs'!$K$5:$K$16)*('2a), 4) Inputs'!$E$6/Days_in_year)*Purchase_cost_LNG</f>
        <v>0</v>
      </c>
      <c r="M8" s="201">
        <f>_xlfn.XLOOKUP(M6,'2a), 4) Inputs'!$J$5:$J$16,'2a), 4) Inputs'!$K$5:$K$16)*('2a), 4) Inputs'!$E$6/Days_in_year)*Purchase_cost_LNG</f>
        <v>0</v>
      </c>
      <c r="N8" s="202">
        <f>_xlfn.XLOOKUP(N6,'2a), 4) Inputs'!$J$5:$J$16,'2a), 4) Inputs'!$K$5:$K$16)*Daily_demand_LNG_Y2*Purchase_cost_LNG</f>
        <v>52898179.329226553</v>
      </c>
      <c r="O8" s="201">
        <f>_xlfn.XLOOKUP(O6,'2a), 4) Inputs'!$J$5:$J$16,'2a), 4) Inputs'!$K$5:$K$16)*Daily_demand_LNG_Y2*Purchase_cost_LNG</f>
        <v>48205598.904859684</v>
      </c>
      <c r="P8" s="201">
        <f>_xlfn.XLOOKUP(P6,'2a), 4) Inputs'!$J$5:$J$16,'2a), 4) Inputs'!$K$5:$K$16)*Daily_demand_LNG_Y2*Purchase_cost_LNG</f>
        <v>52898179.329226553</v>
      </c>
      <c r="Q8" s="201">
        <f>_xlfn.XLOOKUP(Q6,'2a), 4) Inputs'!$J$5:$J$16,'2a), 4) Inputs'!$K$5:$K$16)*Daily_demand_LNG_Y2*Purchase_cost_LNG</f>
        <v>51191786.447638601</v>
      </c>
      <c r="R8" s="201">
        <f>_xlfn.XLOOKUP(R6,'2a), 4) Inputs'!$J$5:$J$16,'2a), 4) Inputs'!$K$5:$K$16)*Daily_demand_LNG_Y2*Purchase_cost_LNG</f>
        <v>52898179.329226553</v>
      </c>
      <c r="S8" s="201">
        <f>_xlfn.XLOOKUP(S6,'2a), 4) Inputs'!$J$5:$J$16,'2a), 4) Inputs'!$K$5:$K$16)*Daily_demand_LNG_Y2*Purchase_cost_LNG</f>
        <v>51191786.447638601</v>
      </c>
      <c r="T8" s="201">
        <f>_xlfn.XLOOKUP(T6,'2a), 4) Inputs'!$J$5:$J$16,'2a), 4) Inputs'!$K$5:$K$16)*Daily_demand_LNG_Y2*Purchase_cost_LNG</f>
        <v>52898179.329226553</v>
      </c>
      <c r="U8" s="201">
        <f>_xlfn.XLOOKUP(U6,'2a), 4) Inputs'!$J$5:$J$16,'2a), 4) Inputs'!$K$5:$K$16)*Daily_demand_LNG_Y2*Purchase_cost_LNG</f>
        <v>52898179.329226553</v>
      </c>
      <c r="V8" s="201">
        <f>_xlfn.XLOOKUP(V6,'2a), 4) Inputs'!$J$5:$J$16,'2a), 4) Inputs'!$K$5:$K$16)*Daily_demand_LNG_Y2*Purchase_cost_LNG</f>
        <v>51191786.447638601</v>
      </c>
      <c r="W8" s="201">
        <f>_xlfn.XLOOKUP(W6,'2a), 4) Inputs'!$J$5:$J$16,'2a), 4) Inputs'!$K$5:$K$16)*Daily_demand_LNG_Y2*Purchase_cost_LNG</f>
        <v>52898179.329226553</v>
      </c>
      <c r="X8" s="201">
        <f>_xlfn.XLOOKUP(X6,'2a), 4) Inputs'!$J$5:$J$16,'2a), 4) Inputs'!$K$5:$K$16)*Daily_demand_LNG_Y2*Purchase_cost_LNG</f>
        <v>51191786.447638601</v>
      </c>
      <c r="Y8" s="201">
        <f>_xlfn.XLOOKUP(Y6,'2a), 4) Inputs'!$J$5:$J$16,'2a), 4) Inputs'!$K$5:$K$16)*Daily_demand_LNG_Y2*Purchase_cost_LNG</f>
        <v>52898179.329226553</v>
      </c>
      <c r="Z8" s="11"/>
    </row>
    <row r="9" spans="1:26">
      <c r="A9" s="1" t="s">
        <v>98</v>
      </c>
      <c r="B9" s="26">
        <f t="shared" ref="B9:Y9" si="0">B7-B8</f>
        <v>0</v>
      </c>
      <c r="C9" s="26">
        <f t="shared" si="0"/>
        <v>0</v>
      </c>
      <c r="D9" s="26">
        <f t="shared" si="0"/>
        <v>0</v>
      </c>
      <c r="E9" s="26">
        <f t="shared" si="0"/>
        <v>0</v>
      </c>
      <c r="F9" s="26">
        <f t="shared" si="0"/>
        <v>0</v>
      </c>
      <c r="G9" s="26">
        <f t="shared" si="0"/>
        <v>0</v>
      </c>
      <c r="H9" s="26">
        <f t="shared" si="0"/>
        <v>0</v>
      </c>
      <c r="I9" s="26">
        <f t="shared" si="0"/>
        <v>0</v>
      </c>
      <c r="J9" s="26">
        <f t="shared" si="0"/>
        <v>0</v>
      </c>
      <c r="K9" s="26">
        <f t="shared" si="0"/>
        <v>0</v>
      </c>
      <c r="L9" s="26">
        <f t="shared" si="0"/>
        <v>0</v>
      </c>
      <c r="M9" s="26">
        <f t="shared" si="0"/>
        <v>0</v>
      </c>
      <c r="N9" s="91">
        <f>N7-N8</f>
        <v>14426776.180698156</v>
      </c>
      <c r="O9" s="26">
        <f t="shared" si="0"/>
        <v>13146981.519507192</v>
      </c>
      <c r="P9" s="26">
        <f t="shared" si="0"/>
        <v>14426776.180698156</v>
      </c>
      <c r="Q9" s="26">
        <f t="shared" si="0"/>
        <v>13961396.303901441</v>
      </c>
      <c r="R9" s="26">
        <f t="shared" si="0"/>
        <v>14426776.180698156</v>
      </c>
      <c r="S9" s="26">
        <f t="shared" si="0"/>
        <v>13961396.303901441</v>
      </c>
      <c r="T9" s="26">
        <f t="shared" si="0"/>
        <v>14426776.180698156</v>
      </c>
      <c r="U9" s="26">
        <f t="shared" si="0"/>
        <v>14426776.180698156</v>
      </c>
      <c r="V9" s="26">
        <f t="shared" si="0"/>
        <v>13961396.303901441</v>
      </c>
      <c r="W9" s="26">
        <f t="shared" si="0"/>
        <v>14426776.180698156</v>
      </c>
      <c r="X9" s="26">
        <f t="shared" si="0"/>
        <v>13961396.303901441</v>
      </c>
      <c r="Y9" s="26">
        <f t="shared" si="0"/>
        <v>14426776.180698156</v>
      </c>
      <c r="Z9" s="11"/>
    </row>
    <row r="10" spans="1:26">
      <c r="M10" s="11"/>
      <c r="N10" s="29"/>
      <c r="O10" s="11"/>
    </row>
    <row r="11" spans="1:26">
      <c r="A11" s="1" t="s">
        <v>295</v>
      </c>
      <c r="B11" s="26"/>
      <c r="C11" s="26"/>
      <c r="D11" s="26"/>
      <c r="E11" s="26"/>
      <c r="F11" s="26"/>
      <c r="G11" s="26"/>
      <c r="H11" s="26"/>
      <c r="I11" s="26"/>
      <c r="J11" s="26"/>
      <c r="K11" s="26"/>
      <c r="L11" s="26"/>
      <c r="M11" s="26"/>
      <c r="N11" s="91"/>
      <c r="O11" s="26"/>
      <c r="P11" s="26"/>
      <c r="Q11" s="26"/>
      <c r="R11" s="26"/>
      <c r="S11" s="26"/>
      <c r="T11" s="26"/>
      <c r="U11" s="26"/>
      <c r="V11" s="26"/>
      <c r="W11" s="26"/>
      <c r="X11" s="26"/>
      <c r="Y11" s="26"/>
    </row>
    <row r="12" spans="1:26">
      <c r="A12" s="204" t="s">
        <v>186</v>
      </c>
      <c r="B12" s="206">
        <f>('2a), 4) Inputs'!$B$36/Months_in_year)</f>
        <v>0</v>
      </c>
      <c r="C12" s="206">
        <f>('2a), 4) Inputs'!$B$36/Months_in_year)</f>
        <v>0</v>
      </c>
      <c r="D12" s="206">
        <f>('2a), 4) Inputs'!$B$36/Months_in_year)</f>
        <v>0</v>
      </c>
      <c r="E12" s="206">
        <f>('2a), 4) Inputs'!$B$36/Months_in_year)</f>
        <v>0</v>
      </c>
      <c r="F12" s="206">
        <f>('2a), 4) Inputs'!$B$36/Months_in_year)</f>
        <v>0</v>
      </c>
      <c r="G12" s="206">
        <f>('2a), 4) Inputs'!$B$36/Months_in_year)</f>
        <v>0</v>
      </c>
      <c r="H12" s="206">
        <f>('2a), 4) Inputs'!$B$36/Months_in_year)</f>
        <v>0</v>
      </c>
      <c r="I12" s="206">
        <f>('2a), 4) Inputs'!$B$36/Months_in_year)</f>
        <v>0</v>
      </c>
      <c r="J12" s="206">
        <f>('2a), 4) Inputs'!$B$36/Months_in_year)</f>
        <v>0</v>
      </c>
      <c r="K12" s="206">
        <f>('2a), 4) Inputs'!$B$36/Months_in_year)</f>
        <v>0</v>
      </c>
      <c r="L12" s="206">
        <f>('2a), 4) Inputs'!$B$36/Months_in_year)</f>
        <v>0</v>
      </c>
      <c r="M12" s="206">
        <f>('2a), 4) Inputs'!$B$36/Months_in_year)</f>
        <v>0</v>
      </c>
      <c r="N12" s="200">
        <f t="shared" ref="N12:Y12" si="1">(Carbon_offset/Months_in_year)</f>
        <v>2750000</v>
      </c>
      <c r="O12" s="199">
        <f t="shared" si="1"/>
        <v>2750000</v>
      </c>
      <c r="P12" s="199">
        <f t="shared" si="1"/>
        <v>2750000</v>
      </c>
      <c r="Q12" s="199">
        <f t="shared" si="1"/>
        <v>2750000</v>
      </c>
      <c r="R12" s="199">
        <f t="shared" si="1"/>
        <v>2750000</v>
      </c>
      <c r="S12" s="199">
        <f t="shared" si="1"/>
        <v>2750000</v>
      </c>
      <c r="T12" s="199">
        <f t="shared" si="1"/>
        <v>2750000</v>
      </c>
      <c r="U12" s="199">
        <f t="shared" si="1"/>
        <v>2750000</v>
      </c>
      <c r="V12" s="199">
        <f t="shared" si="1"/>
        <v>2750000</v>
      </c>
      <c r="W12" s="199">
        <f t="shared" si="1"/>
        <v>2750000</v>
      </c>
      <c r="X12" s="199">
        <f t="shared" si="1"/>
        <v>2750000</v>
      </c>
      <c r="Y12" s="199">
        <f t="shared" si="1"/>
        <v>2750000</v>
      </c>
    </row>
    <row r="13" spans="1:26">
      <c r="A13" s="204" t="s">
        <v>149</v>
      </c>
      <c r="B13" s="206">
        <f>'2a), 4) Inputs'!$E$10*('2a), 4) Inputs'!$H$6/Months_in_year)</f>
        <v>0</v>
      </c>
      <c r="C13" s="206">
        <f>'2a), 4) Inputs'!$E$10*('2a), 4) Inputs'!$H$6/Months_in_year)</f>
        <v>0</v>
      </c>
      <c r="D13" s="206">
        <f>'2a), 4) Inputs'!$E$10*('2a), 4) Inputs'!$H$6/Months_in_year)</f>
        <v>0</v>
      </c>
      <c r="E13" s="206">
        <f>'2a), 4) Inputs'!$E$10*('2a), 4) Inputs'!$H$6/Months_in_year)</f>
        <v>0</v>
      </c>
      <c r="F13" s="206">
        <f>'2a), 4) Inputs'!$E$10*('2a), 4) Inputs'!$H$6/Months_in_year)</f>
        <v>0</v>
      </c>
      <c r="G13" s="206">
        <f>'2a), 4) Inputs'!$E$10*('2a), 4) Inputs'!$H$6/Months_in_year)</f>
        <v>0</v>
      </c>
      <c r="H13" s="206">
        <f>'2a), 4) Inputs'!$E$10*('2a), 4) Inputs'!$H$6/Months_in_year)</f>
        <v>0</v>
      </c>
      <c r="I13" s="206">
        <f>'2a), 4) Inputs'!$E$10*('2a), 4) Inputs'!$H$6/Months_in_year)</f>
        <v>0</v>
      </c>
      <c r="J13" s="206">
        <f>'2a), 4) Inputs'!$E$10*('2a), 4) Inputs'!$H$6/Months_in_year)</f>
        <v>0</v>
      </c>
      <c r="K13" s="206">
        <f>'2a), 4) Inputs'!$E$10*('2a), 4) Inputs'!$H$6/Months_in_year)</f>
        <v>0</v>
      </c>
      <c r="L13" s="206">
        <f>'2a), 4) Inputs'!$E$10*('2a), 4) Inputs'!$H$6/Months_in_year)</f>
        <v>0</v>
      </c>
      <c r="M13" s="206">
        <f>'2a), 4) Inputs'!$E$10*('2a), 4) Inputs'!$H$6/Months_in_year)</f>
        <v>0</v>
      </c>
      <c r="N13" s="200">
        <f>(Port_fee/Months_in_year)*'2a), 4) Inputs'!$H$7</f>
        <v>1998333.3333333333</v>
      </c>
      <c r="O13" s="199">
        <f>(Port_fee/Months_in_year)*'2a), 4) Inputs'!$H$7</f>
        <v>1998333.3333333333</v>
      </c>
      <c r="P13" s="199">
        <f>(Port_fee/Months_in_year)*'2a), 4) Inputs'!$H$7</f>
        <v>1998333.3333333333</v>
      </c>
      <c r="Q13" s="199">
        <f>(Port_fee/Months_in_year)*'2a), 4) Inputs'!$H$7</f>
        <v>1998333.3333333333</v>
      </c>
      <c r="R13" s="199">
        <f>(Port_fee/Months_in_year)*'2a), 4) Inputs'!$H$7</f>
        <v>1998333.3333333333</v>
      </c>
      <c r="S13" s="199">
        <f>(Port_fee/Months_in_year)*'2a), 4) Inputs'!$H$7</f>
        <v>1998333.3333333333</v>
      </c>
      <c r="T13" s="199">
        <f>(Port_fee/Months_in_year)*'2a), 4) Inputs'!$H$7</f>
        <v>1998333.3333333333</v>
      </c>
      <c r="U13" s="199">
        <f>(Port_fee/Months_in_year)*'2a), 4) Inputs'!$H$7</f>
        <v>1998333.3333333333</v>
      </c>
      <c r="V13" s="199">
        <f>(Port_fee/Months_in_year)*'2a), 4) Inputs'!$H$7</f>
        <v>1998333.3333333333</v>
      </c>
      <c r="W13" s="199">
        <f>(Port_fee/Months_in_year)*'2a), 4) Inputs'!$H$7</f>
        <v>1998333.3333333333</v>
      </c>
      <c r="X13" s="199">
        <f>(Port_fee/Months_in_year)*'2a), 4) Inputs'!$H$7</f>
        <v>1998333.3333333333</v>
      </c>
      <c r="Y13" s="199">
        <f>(Port_fee/Months_in_year)*'2a), 4) Inputs'!$H$7</f>
        <v>1998333.3333333333</v>
      </c>
    </row>
    <row r="14" spans="1:26">
      <c r="A14" s="204" t="s">
        <v>181</v>
      </c>
      <c r="B14" s="206">
        <f>Operating_expense*('2a), 4) Inputs'!$H$6/Months_in_year)</f>
        <v>0</v>
      </c>
      <c r="C14" s="206">
        <f>Operating_expense*('2a), 4) Inputs'!$H$6/Months_in_year)</f>
        <v>0</v>
      </c>
      <c r="D14" s="206">
        <f>Operating_expense*('2a), 4) Inputs'!$H$6/Months_in_year)</f>
        <v>0</v>
      </c>
      <c r="E14" s="206">
        <f>Operating_expense*('2a), 4) Inputs'!$H$6/Months_in_year)</f>
        <v>0</v>
      </c>
      <c r="F14" s="206">
        <f>Operating_expense*('2a), 4) Inputs'!$H$6/Months_in_year)</f>
        <v>0</v>
      </c>
      <c r="G14" s="206">
        <f>Operating_expense*('2a), 4) Inputs'!$H$6/Months_in_year)</f>
        <v>0</v>
      </c>
      <c r="H14" s="206">
        <f>Operating_expense*('2a), 4) Inputs'!$H$6/Months_in_year)</f>
        <v>0</v>
      </c>
      <c r="I14" s="206">
        <f>Operating_expense*('2a), 4) Inputs'!$H$6/Months_in_year)</f>
        <v>0</v>
      </c>
      <c r="J14" s="206">
        <f>Operating_expense*('2a), 4) Inputs'!$H$6/Months_in_year)</f>
        <v>0</v>
      </c>
      <c r="K14" s="206">
        <f>Operating_expense*('2a), 4) Inputs'!$H$6/Months_in_year)</f>
        <v>0</v>
      </c>
      <c r="L14" s="206">
        <f>Operating_expense*('2a), 4) Inputs'!$H$6/Months_in_year)</f>
        <v>0</v>
      </c>
      <c r="M14" s="206">
        <f>Operating_expense*('2a), 4) Inputs'!$H$6/Months_in_year)</f>
        <v>0</v>
      </c>
      <c r="N14" s="200">
        <f>(Operating_expense/Months_in_year)*'2a), 4) Inputs'!$H$7</f>
        <v>363333.33333333337</v>
      </c>
      <c r="O14" s="199">
        <f>(Operating_expense/Months_in_year)*'2a), 4) Inputs'!$H$7</f>
        <v>363333.33333333337</v>
      </c>
      <c r="P14" s="199">
        <f>(Operating_expense/Months_in_year)*'2a), 4) Inputs'!$H$7</f>
        <v>363333.33333333337</v>
      </c>
      <c r="Q14" s="199">
        <f>(Operating_expense/Months_in_year)*'2a), 4) Inputs'!$H$7</f>
        <v>363333.33333333337</v>
      </c>
      <c r="R14" s="199">
        <f>(Operating_expense/Months_in_year)*'2a), 4) Inputs'!$H$7</f>
        <v>363333.33333333337</v>
      </c>
      <c r="S14" s="199">
        <f>(Operating_expense/Months_in_year)*'2a), 4) Inputs'!$H$7</f>
        <v>363333.33333333337</v>
      </c>
      <c r="T14" s="199">
        <f>(Operating_expense/Months_in_year)*'2a), 4) Inputs'!$H$7</f>
        <v>363333.33333333337</v>
      </c>
      <c r="U14" s="199">
        <f>(Operating_expense/Months_in_year)*'2a), 4) Inputs'!$H$7</f>
        <v>363333.33333333337</v>
      </c>
      <c r="V14" s="199">
        <f>(Operating_expense/Months_in_year)*'2a), 4) Inputs'!$H$7</f>
        <v>363333.33333333337</v>
      </c>
      <c r="W14" s="199">
        <f>(Operating_expense/Months_in_year)*'2a), 4) Inputs'!$H$7</f>
        <v>363333.33333333337</v>
      </c>
      <c r="X14" s="199">
        <f>(Operating_expense/Months_in_year)*'2a), 4) Inputs'!$H$7</f>
        <v>363333.33333333337</v>
      </c>
      <c r="Y14" s="199">
        <f>(Operating_expense/Months_in_year)*'2a), 4) Inputs'!$H$7</f>
        <v>363333.33333333337</v>
      </c>
    </row>
    <row r="15" spans="1:26">
      <c r="A15" s="204" t="s">
        <v>298</v>
      </c>
      <c r="B15" s="206">
        <f>('2a), 4) Inputs'!$E$16+'2a), 4) Inputs'!$E$18)/Months_in_year</f>
        <v>0</v>
      </c>
      <c r="C15" s="206">
        <f>('2a), 4) Inputs'!$E$16+'2a), 4) Inputs'!$E$18)/Months_in_year</f>
        <v>0</v>
      </c>
      <c r="D15" s="206">
        <f>('2a), 4) Inputs'!$E$16+'2a), 4) Inputs'!$E$18)/Months_in_year</f>
        <v>0</v>
      </c>
      <c r="E15" s="206">
        <f>('2a), 4) Inputs'!$E$16+'2a), 4) Inputs'!$E$18)/Months_in_year</f>
        <v>0</v>
      </c>
      <c r="F15" s="206">
        <f>('2a), 4) Inputs'!$E$16+'2a), 4) Inputs'!$E$18)/Months_in_year</f>
        <v>0</v>
      </c>
      <c r="G15" s="206">
        <f>('2a), 4) Inputs'!$E$16+'2a), 4) Inputs'!$E$18)/Months_in_year</f>
        <v>0</v>
      </c>
      <c r="H15" s="206">
        <f>('2a), 4) Inputs'!$E$16+'2a), 4) Inputs'!$E$18)/Months_in_year</f>
        <v>0</v>
      </c>
      <c r="I15" s="206">
        <f>('2a), 4) Inputs'!$E$16+'2a), 4) Inputs'!$E$18)/Months_in_year</f>
        <v>0</v>
      </c>
      <c r="J15" s="206">
        <f>('2a), 4) Inputs'!$E$16+'2a), 4) Inputs'!$E$18)/Months_in_year</f>
        <v>0</v>
      </c>
      <c r="K15" s="206">
        <f>('2a), 4) Inputs'!$E$16+'2a), 4) Inputs'!$E$18)/Months_in_year</f>
        <v>0</v>
      </c>
      <c r="L15" s="206">
        <f>('2a), 4) Inputs'!$E$16+'2a), 4) Inputs'!$E$18)/Months_in_year</f>
        <v>0</v>
      </c>
      <c r="M15" s="206">
        <f>('2a), 4) Inputs'!$E$16+'2a), 4) Inputs'!$E$18)/Months_in_year</f>
        <v>0</v>
      </c>
      <c r="N15" s="200">
        <f t="shared" ref="N15:Y15" si="2">Annual_salary_base_costs/Months_in_year</f>
        <v>255847.95321637424</v>
      </c>
      <c r="O15" s="168">
        <f t="shared" si="2"/>
        <v>255847.95321637424</v>
      </c>
      <c r="P15" s="168">
        <f t="shared" si="2"/>
        <v>255847.95321637424</v>
      </c>
      <c r="Q15" s="168">
        <f t="shared" si="2"/>
        <v>255847.95321637424</v>
      </c>
      <c r="R15" s="168">
        <f t="shared" si="2"/>
        <v>255847.95321637424</v>
      </c>
      <c r="S15" s="168">
        <f t="shared" si="2"/>
        <v>255847.95321637424</v>
      </c>
      <c r="T15" s="168">
        <f t="shared" si="2"/>
        <v>255847.95321637424</v>
      </c>
      <c r="U15" s="168">
        <f t="shared" si="2"/>
        <v>255847.95321637424</v>
      </c>
      <c r="V15" s="168">
        <f t="shared" si="2"/>
        <v>255847.95321637424</v>
      </c>
      <c r="W15" s="168">
        <f t="shared" si="2"/>
        <v>255847.95321637424</v>
      </c>
      <c r="X15" s="168">
        <f t="shared" si="2"/>
        <v>255847.95321637424</v>
      </c>
      <c r="Y15" s="168">
        <f t="shared" si="2"/>
        <v>255847.95321637424</v>
      </c>
    </row>
    <row r="16" spans="1:26">
      <c r="A16" s="204" t="s">
        <v>182</v>
      </c>
      <c r="B16" s="206">
        <f>('2a), 4) Inputs'!$E$12/Months_in_year)</f>
        <v>0</v>
      </c>
      <c r="C16" s="206">
        <f>'2a), 4) Inputs'!$E$12</f>
        <v>0</v>
      </c>
      <c r="D16" s="206">
        <f>'2a), 4) Inputs'!$E$12</f>
        <v>0</v>
      </c>
      <c r="E16" s="206">
        <f>'2a), 4) Inputs'!$E$12</f>
        <v>0</v>
      </c>
      <c r="F16" s="206">
        <f>'2a), 4) Inputs'!$E$12</f>
        <v>0</v>
      </c>
      <c r="G16" s="206">
        <f>'2a), 4) Inputs'!$E$12</f>
        <v>0</v>
      </c>
      <c r="H16" s="206">
        <f>'2a), 4) Inputs'!$E$12</f>
        <v>0</v>
      </c>
      <c r="I16" s="206">
        <f>'2a), 4) Inputs'!$E$12</f>
        <v>0</v>
      </c>
      <c r="J16" s="206">
        <f>'2a), 4) Inputs'!$E$12</f>
        <v>0</v>
      </c>
      <c r="K16" s="206">
        <f>'2a), 4) Inputs'!$E$12</f>
        <v>0</v>
      </c>
      <c r="L16" s="206">
        <f>'2a), 4) Inputs'!$E$12</f>
        <v>0</v>
      </c>
      <c r="M16" s="206">
        <f>'2a), 4) Inputs'!$E$12</f>
        <v>0</v>
      </c>
      <c r="N16" s="200">
        <f t="shared" ref="N16:Y16" si="3">(General_maintenance/Months_in_year)</f>
        <v>166666.66666666666</v>
      </c>
      <c r="O16" s="199">
        <f t="shared" si="3"/>
        <v>166666.66666666666</v>
      </c>
      <c r="P16" s="199">
        <f t="shared" si="3"/>
        <v>166666.66666666666</v>
      </c>
      <c r="Q16" s="199">
        <f t="shared" si="3"/>
        <v>166666.66666666666</v>
      </c>
      <c r="R16" s="199">
        <f t="shared" si="3"/>
        <v>166666.66666666666</v>
      </c>
      <c r="S16" s="199">
        <f t="shared" si="3"/>
        <v>166666.66666666666</v>
      </c>
      <c r="T16" s="199">
        <f t="shared" si="3"/>
        <v>166666.66666666666</v>
      </c>
      <c r="U16" s="199">
        <f t="shared" si="3"/>
        <v>166666.66666666666</v>
      </c>
      <c r="V16" s="199">
        <f t="shared" si="3"/>
        <v>166666.66666666666</v>
      </c>
      <c r="W16" s="199">
        <f t="shared" si="3"/>
        <v>166666.66666666666</v>
      </c>
      <c r="X16" s="199">
        <f t="shared" si="3"/>
        <v>166666.66666666666</v>
      </c>
      <c r="Y16" s="199">
        <f t="shared" si="3"/>
        <v>166666.66666666666</v>
      </c>
    </row>
    <row r="17" spans="1:25">
      <c r="A17" s="204" t="s">
        <v>183</v>
      </c>
      <c r="B17" s="206">
        <f>('2a), 4) Inputs'!$E$13/Months_in_year)</f>
        <v>0</v>
      </c>
      <c r="C17" s="206">
        <f>'2a), 4) Inputs'!$E$13</f>
        <v>0</v>
      </c>
      <c r="D17" s="206">
        <f>'2a), 4) Inputs'!$E$13</f>
        <v>0</v>
      </c>
      <c r="E17" s="206">
        <f>'2a), 4) Inputs'!$E$13</f>
        <v>0</v>
      </c>
      <c r="F17" s="206">
        <f>'2a), 4) Inputs'!$E$13</f>
        <v>0</v>
      </c>
      <c r="G17" s="206">
        <f>'2a), 4) Inputs'!$E$13</f>
        <v>0</v>
      </c>
      <c r="H17" s="206">
        <f>'2a), 4) Inputs'!$E$13</f>
        <v>0</v>
      </c>
      <c r="I17" s="206">
        <f>'2a), 4) Inputs'!$E$13</f>
        <v>0</v>
      </c>
      <c r="J17" s="206">
        <f>'2a), 4) Inputs'!$E$13</f>
        <v>0</v>
      </c>
      <c r="K17" s="206">
        <f>'2a), 4) Inputs'!$E$13</f>
        <v>0</v>
      </c>
      <c r="L17" s="206">
        <f>'2a), 4) Inputs'!$E$13</f>
        <v>0</v>
      </c>
      <c r="M17" s="206">
        <f>'2a), 4) Inputs'!$E$13</f>
        <v>0</v>
      </c>
      <c r="N17" s="200">
        <f t="shared" ref="N17:Y17" si="4">(Stores_and_lubricants/Months_in_year)</f>
        <v>166666.66666666666</v>
      </c>
      <c r="O17" s="199">
        <f t="shared" si="4"/>
        <v>166666.66666666666</v>
      </c>
      <c r="P17" s="199">
        <f t="shared" si="4"/>
        <v>166666.66666666666</v>
      </c>
      <c r="Q17" s="199">
        <f t="shared" si="4"/>
        <v>166666.66666666666</v>
      </c>
      <c r="R17" s="199">
        <f t="shared" si="4"/>
        <v>166666.66666666666</v>
      </c>
      <c r="S17" s="199">
        <f t="shared" si="4"/>
        <v>166666.66666666666</v>
      </c>
      <c r="T17" s="199">
        <f t="shared" si="4"/>
        <v>166666.66666666666</v>
      </c>
      <c r="U17" s="199">
        <f t="shared" si="4"/>
        <v>166666.66666666666</v>
      </c>
      <c r="V17" s="199">
        <f t="shared" si="4"/>
        <v>166666.66666666666</v>
      </c>
      <c r="W17" s="199">
        <f t="shared" si="4"/>
        <v>166666.66666666666</v>
      </c>
      <c r="X17" s="199">
        <f t="shared" si="4"/>
        <v>166666.66666666666</v>
      </c>
      <c r="Y17" s="199">
        <f t="shared" si="4"/>
        <v>166666.66666666666</v>
      </c>
    </row>
    <row r="18" spans="1:25">
      <c r="A18" s="204" t="s">
        <v>180</v>
      </c>
      <c r="B18" s="206">
        <f>'2a), 4) Inputs'!$E$9/Months_in_year</f>
        <v>0</v>
      </c>
      <c r="C18" s="206">
        <f>'2a), 4) Inputs'!$E$9/Months_in_year</f>
        <v>0</v>
      </c>
      <c r="D18" s="206">
        <f>'2a), 4) Inputs'!$E$9/Months_in_year</f>
        <v>0</v>
      </c>
      <c r="E18" s="206">
        <f>'2a), 4) Inputs'!$E$9/Months_in_year</f>
        <v>0</v>
      </c>
      <c r="F18" s="206">
        <f>'2a), 4) Inputs'!$E$9/Months_in_year</f>
        <v>0</v>
      </c>
      <c r="G18" s="206">
        <f>'2a), 4) Inputs'!$E$9/Months_in_year</f>
        <v>0</v>
      </c>
      <c r="H18" s="206">
        <f>'2a), 4) Inputs'!$E$9/Months_in_year</f>
        <v>0</v>
      </c>
      <c r="I18" s="206">
        <f>'2a), 4) Inputs'!$E$9/Months_in_year</f>
        <v>0</v>
      </c>
      <c r="J18" s="206">
        <f>'2a), 4) Inputs'!$E$9/Months_in_year</f>
        <v>0</v>
      </c>
      <c r="K18" s="206">
        <f>'2a), 4) Inputs'!$E$9/Months_in_year</f>
        <v>0</v>
      </c>
      <c r="L18" s="206">
        <f>'2a), 4) Inputs'!$E$9/Months_in_year</f>
        <v>0</v>
      </c>
      <c r="M18" s="206">
        <f>'2a), 4) Inputs'!$E$9/Months_in_year</f>
        <v>0</v>
      </c>
      <c r="N18" s="200">
        <f t="shared" ref="N18:Y18" si="5">Insurance_expense/Months_in_year</f>
        <v>150000</v>
      </c>
      <c r="O18" s="199">
        <f t="shared" si="5"/>
        <v>150000</v>
      </c>
      <c r="P18" s="199">
        <f t="shared" si="5"/>
        <v>150000</v>
      </c>
      <c r="Q18" s="199">
        <f t="shared" si="5"/>
        <v>150000</v>
      </c>
      <c r="R18" s="199">
        <f t="shared" si="5"/>
        <v>150000</v>
      </c>
      <c r="S18" s="199">
        <f t="shared" si="5"/>
        <v>150000</v>
      </c>
      <c r="T18" s="199">
        <f t="shared" si="5"/>
        <v>150000</v>
      </c>
      <c r="U18" s="199">
        <f t="shared" si="5"/>
        <v>150000</v>
      </c>
      <c r="V18" s="199">
        <f t="shared" si="5"/>
        <v>150000</v>
      </c>
      <c r="W18" s="199">
        <f t="shared" si="5"/>
        <v>150000</v>
      </c>
      <c r="X18" s="199">
        <f t="shared" si="5"/>
        <v>150000</v>
      </c>
      <c r="Y18" s="199">
        <f t="shared" si="5"/>
        <v>150000</v>
      </c>
    </row>
    <row r="19" spans="1:25">
      <c r="A19" s="204" t="s">
        <v>184</v>
      </c>
      <c r="B19" s="206">
        <f>(Tons_per_trip*Price_per_ton)*('2a), 4) Inputs'!$H$6/Months_in_year)</f>
        <v>0</v>
      </c>
      <c r="C19" s="206">
        <f>(Tons_per_trip*Price_per_ton)*('2a), 4) Inputs'!$H$6/Months_in_year)</f>
        <v>0</v>
      </c>
      <c r="D19" s="206">
        <f>(Tons_per_trip*Price_per_ton)*('2a), 4) Inputs'!$H$6/Months_in_year)</f>
        <v>0</v>
      </c>
      <c r="E19" s="206">
        <f>(Tons_per_trip*Price_per_ton)*('2a), 4) Inputs'!$H$6/Months_in_year)</f>
        <v>0</v>
      </c>
      <c r="F19" s="206">
        <f>(Tons_per_trip*Price_per_ton)*('2a), 4) Inputs'!$H$6/Months_in_year)</f>
        <v>0</v>
      </c>
      <c r="G19" s="206">
        <f>(Tons_per_trip*Price_per_ton)*('2a), 4) Inputs'!$H$6/Months_in_year)</f>
        <v>0</v>
      </c>
      <c r="H19" s="206">
        <f>(Tons_per_trip*Price_per_ton)*('2a), 4) Inputs'!$H$6/Months_in_year)</f>
        <v>0</v>
      </c>
      <c r="I19" s="206">
        <f>(Tons_per_trip*Price_per_ton)*('2a), 4) Inputs'!$H$6/Months_in_year)</f>
        <v>0</v>
      </c>
      <c r="J19" s="206">
        <f>(Tons_per_trip*Price_per_ton)*('2a), 4) Inputs'!$H$6/Months_in_year)</f>
        <v>0</v>
      </c>
      <c r="K19" s="206">
        <f>(Tons_per_trip*Price_per_ton)*('2a), 4) Inputs'!$H$6/Months_in_year)</f>
        <v>0</v>
      </c>
      <c r="L19" s="206">
        <f>(Tons_per_trip*Price_per_ton)*('2a), 4) Inputs'!$H$6/Months_in_year)</f>
        <v>0</v>
      </c>
      <c r="M19" s="206">
        <f>(Tons_per_trip*Price_per_ton)*('2a), 4) Inputs'!$H$6/Months_in_year)</f>
        <v>0</v>
      </c>
      <c r="N19" s="200">
        <f>(Tons_per_trip*Price_per_ton)*('2a), 4) Inputs'!$H$7/Months_in_year)</f>
        <v>82840</v>
      </c>
      <c r="O19" s="199">
        <f>(Tons_per_trip*Price_per_ton)*('2a), 4) Inputs'!$H$7/Months_in_year)</f>
        <v>82840</v>
      </c>
      <c r="P19" s="199">
        <f>(Tons_per_trip*Price_per_ton)*('2a), 4) Inputs'!$H$7/Months_in_year)</f>
        <v>82840</v>
      </c>
      <c r="Q19" s="199">
        <f>(Tons_per_trip*Price_per_ton)*('2a), 4) Inputs'!$H$7/Months_in_year)</f>
        <v>82840</v>
      </c>
      <c r="R19" s="199">
        <f>(Tons_per_trip*Price_per_ton)*('2a), 4) Inputs'!$H$7/Months_in_year)</f>
        <v>82840</v>
      </c>
      <c r="S19" s="199">
        <f>(Tons_per_trip*Price_per_ton)*('2a), 4) Inputs'!$H$7/Months_in_year)</f>
        <v>82840</v>
      </c>
      <c r="T19" s="199">
        <f>(Tons_per_trip*Price_per_ton)*('2a), 4) Inputs'!$H$7/Months_in_year)</f>
        <v>82840</v>
      </c>
      <c r="U19" s="199">
        <f>(Tons_per_trip*Price_per_ton)*('2a), 4) Inputs'!$H$7/Months_in_year)</f>
        <v>82840</v>
      </c>
      <c r="V19" s="199">
        <f>(Tons_per_trip*Price_per_ton)*('2a), 4) Inputs'!$H$7/Months_in_year)</f>
        <v>82840</v>
      </c>
      <c r="W19" s="199">
        <f>(Tons_per_trip*Price_per_ton)*('2a), 4) Inputs'!$H$7/Months_in_year)</f>
        <v>82840</v>
      </c>
      <c r="X19" s="199">
        <f>(Tons_per_trip*Price_per_ton)*('2a), 4) Inputs'!$H$7/Months_in_year)</f>
        <v>82840</v>
      </c>
      <c r="Y19" s="199">
        <f>(Tons_per_trip*Price_per_ton)*('2a), 4) Inputs'!$H$7/Months_in_year)</f>
        <v>82840</v>
      </c>
    </row>
    <row r="20" spans="1:25">
      <c r="A20" s="204" t="s">
        <v>185</v>
      </c>
      <c r="B20" s="206">
        <f>'2a), 4) Inputs'!$E$18/Months_in_year</f>
        <v>0</v>
      </c>
      <c r="C20" s="206">
        <f>'2a), 4) Inputs'!$E$18/Months_in_year</f>
        <v>0</v>
      </c>
      <c r="D20" s="206">
        <f>'2a), 4) Inputs'!$E$18/Months_in_year</f>
        <v>0</v>
      </c>
      <c r="E20" s="206">
        <f>'2a), 4) Inputs'!$E$18/Months_in_year</f>
        <v>0</v>
      </c>
      <c r="F20" s="206">
        <f>'2a), 4) Inputs'!$E$18/Months_in_year</f>
        <v>0</v>
      </c>
      <c r="G20" s="206">
        <f>'2a), 4) Inputs'!$E$18/Months_in_year</f>
        <v>0</v>
      </c>
      <c r="H20" s="206">
        <f>'2a), 4) Inputs'!$E$18/Months_in_year</f>
        <v>0</v>
      </c>
      <c r="I20" s="206">
        <f>'2a), 4) Inputs'!$E$18/Months_in_year</f>
        <v>0</v>
      </c>
      <c r="J20" s="206">
        <f>'2a), 4) Inputs'!$E$18/Months_in_year</f>
        <v>0</v>
      </c>
      <c r="K20" s="206">
        <f>'2a), 4) Inputs'!$E$18/Months_in_year</f>
        <v>0</v>
      </c>
      <c r="L20" s="206">
        <f>'2a), 4) Inputs'!$E$18/Months_in_year</f>
        <v>0</v>
      </c>
      <c r="M20" s="206">
        <f>'2a), 4) Inputs'!$E$18/Months_in_year</f>
        <v>0</v>
      </c>
      <c r="N20" s="200">
        <f>Employer_contribution/Months_in_year</f>
        <v>35818.713450292395</v>
      </c>
      <c r="O20" s="168">
        <f t="shared" ref="O20:Y20" si="6">Employer_contribution/Months_in_year</f>
        <v>35818.713450292395</v>
      </c>
      <c r="P20" s="168">
        <f t="shared" si="6"/>
        <v>35818.713450292395</v>
      </c>
      <c r="Q20" s="168">
        <f t="shared" si="6"/>
        <v>35818.713450292395</v>
      </c>
      <c r="R20" s="168">
        <f t="shared" si="6"/>
        <v>35818.713450292395</v>
      </c>
      <c r="S20" s="168">
        <f t="shared" si="6"/>
        <v>35818.713450292395</v>
      </c>
      <c r="T20" s="168">
        <f t="shared" si="6"/>
        <v>35818.713450292395</v>
      </c>
      <c r="U20" s="168">
        <f t="shared" si="6"/>
        <v>35818.713450292395</v>
      </c>
      <c r="V20" s="168">
        <f t="shared" si="6"/>
        <v>35818.713450292395</v>
      </c>
      <c r="W20" s="168">
        <f t="shared" si="6"/>
        <v>35818.713450292395</v>
      </c>
      <c r="X20" s="168">
        <f t="shared" si="6"/>
        <v>35818.713450292395</v>
      </c>
      <c r="Y20" s="168">
        <f t="shared" si="6"/>
        <v>35818.713450292395</v>
      </c>
    </row>
    <row r="21" spans="1:25" ht="15.75" customHeight="1">
      <c r="A21" s="10" t="s">
        <v>297</v>
      </c>
      <c r="B21" s="12">
        <f t="shared" ref="B21:M21" si="7">SUM(B12:B20)</f>
        <v>0</v>
      </c>
      <c r="C21" s="12">
        <f t="shared" si="7"/>
        <v>0</v>
      </c>
      <c r="D21" s="12">
        <f t="shared" si="7"/>
        <v>0</v>
      </c>
      <c r="E21" s="12">
        <f t="shared" si="7"/>
        <v>0</v>
      </c>
      <c r="F21" s="12">
        <f t="shared" si="7"/>
        <v>0</v>
      </c>
      <c r="G21" s="12">
        <f t="shared" si="7"/>
        <v>0</v>
      </c>
      <c r="H21" s="12">
        <f t="shared" si="7"/>
        <v>0</v>
      </c>
      <c r="I21" s="12">
        <f t="shared" si="7"/>
        <v>0</v>
      </c>
      <c r="J21" s="12">
        <f t="shared" si="7"/>
        <v>0</v>
      </c>
      <c r="K21" s="12">
        <f t="shared" si="7"/>
        <v>0</v>
      </c>
      <c r="L21" s="12">
        <f t="shared" si="7"/>
        <v>0</v>
      </c>
      <c r="M21" s="12">
        <f t="shared" si="7"/>
        <v>0</v>
      </c>
      <c r="N21" s="203">
        <f t="shared" ref="N21:Y21" si="8">SUM(N12:N20)</f>
        <v>5969506.666666666</v>
      </c>
      <c r="O21" s="12">
        <f t="shared" si="8"/>
        <v>5969506.666666666</v>
      </c>
      <c r="P21" s="12">
        <f t="shared" si="8"/>
        <v>5969506.666666666</v>
      </c>
      <c r="Q21" s="12">
        <f t="shared" si="8"/>
        <v>5969506.666666666</v>
      </c>
      <c r="R21" s="12">
        <f t="shared" si="8"/>
        <v>5969506.666666666</v>
      </c>
      <c r="S21" s="12">
        <f t="shared" si="8"/>
        <v>5969506.666666666</v>
      </c>
      <c r="T21" s="12">
        <f t="shared" si="8"/>
        <v>5969506.666666666</v>
      </c>
      <c r="U21" s="12">
        <f t="shared" si="8"/>
        <v>5969506.666666666</v>
      </c>
      <c r="V21" s="12">
        <f t="shared" si="8"/>
        <v>5969506.666666666</v>
      </c>
      <c r="W21" s="12">
        <f t="shared" si="8"/>
        <v>5969506.666666666</v>
      </c>
      <c r="X21" s="12">
        <f t="shared" si="8"/>
        <v>5969506.666666666</v>
      </c>
      <c r="Y21" s="12">
        <f t="shared" si="8"/>
        <v>5969506.666666666</v>
      </c>
    </row>
    <row r="22" spans="1:25" ht="15.75" customHeight="1">
      <c r="A22" s="11"/>
      <c r="B22" s="12"/>
      <c r="C22" s="12"/>
      <c r="D22" s="12"/>
      <c r="E22" s="12"/>
      <c r="F22" s="12"/>
      <c r="G22" s="12"/>
      <c r="H22" s="12"/>
      <c r="I22" s="12"/>
      <c r="J22" s="12"/>
      <c r="K22" s="12"/>
      <c r="L22" s="12"/>
      <c r="M22" s="12"/>
      <c r="N22" s="203"/>
      <c r="O22" s="26"/>
      <c r="P22" s="26"/>
      <c r="Q22" s="26"/>
      <c r="R22" s="26"/>
      <c r="S22" s="26"/>
      <c r="T22" s="26"/>
      <c r="U22" s="26"/>
      <c r="V22" s="26"/>
      <c r="W22" s="26"/>
      <c r="X22" s="26"/>
      <c r="Y22" s="26"/>
    </row>
    <row r="23" spans="1:25" ht="15.75" customHeight="1">
      <c r="A23" s="10" t="s">
        <v>120</v>
      </c>
      <c r="B23" s="12">
        <f t="shared" ref="B23:M23" si="9">B9-B21</f>
        <v>0</v>
      </c>
      <c r="C23" s="12">
        <f t="shared" si="9"/>
        <v>0</v>
      </c>
      <c r="D23" s="12">
        <f t="shared" si="9"/>
        <v>0</v>
      </c>
      <c r="E23" s="12">
        <f t="shared" si="9"/>
        <v>0</v>
      </c>
      <c r="F23" s="12">
        <f t="shared" si="9"/>
        <v>0</v>
      </c>
      <c r="G23" s="12">
        <f t="shared" si="9"/>
        <v>0</v>
      </c>
      <c r="H23" s="12">
        <f t="shared" si="9"/>
        <v>0</v>
      </c>
      <c r="I23" s="12">
        <f t="shared" si="9"/>
        <v>0</v>
      </c>
      <c r="J23" s="12">
        <f t="shared" si="9"/>
        <v>0</v>
      </c>
      <c r="K23" s="12">
        <f t="shared" si="9"/>
        <v>0</v>
      </c>
      <c r="L23" s="12">
        <f t="shared" si="9"/>
        <v>0</v>
      </c>
      <c r="M23" s="12">
        <f t="shared" si="9"/>
        <v>0</v>
      </c>
      <c r="N23" s="203">
        <f t="shared" ref="N23:Y23" si="10">N9-N21</f>
        <v>8457269.5140314903</v>
      </c>
      <c r="O23" s="26">
        <f t="shared" si="10"/>
        <v>7177474.852840526</v>
      </c>
      <c r="P23" s="12">
        <f t="shared" si="10"/>
        <v>8457269.5140314903</v>
      </c>
      <c r="Q23" s="12">
        <f t="shared" si="10"/>
        <v>7991889.6372347753</v>
      </c>
      <c r="R23" s="12">
        <f t="shared" si="10"/>
        <v>8457269.5140314903</v>
      </c>
      <c r="S23" s="12">
        <f t="shared" si="10"/>
        <v>7991889.6372347753</v>
      </c>
      <c r="T23" s="12">
        <f t="shared" si="10"/>
        <v>8457269.5140314903</v>
      </c>
      <c r="U23" s="12">
        <f t="shared" si="10"/>
        <v>8457269.5140314903</v>
      </c>
      <c r="V23" s="12">
        <f t="shared" si="10"/>
        <v>7991889.6372347753</v>
      </c>
      <c r="W23" s="12">
        <f t="shared" si="10"/>
        <v>8457269.5140314903</v>
      </c>
      <c r="X23" s="12">
        <f t="shared" si="10"/>
        <v>7991889.6372347753</v>
      </c>
      <c r="Y23" s="12">
        <f t="shared" si="10"/>
        <v>8457269.5140314903</v>
      </c>
    </row>
    <row r="24" spans="1:25" ht="15.75" customHeight="1">
      <c r="A24" s="2" t="s">
        <v>22</v>
      </c>
      <c r="B24" s="199">
        <f>'2b) Schedules'!$C$6/Months_in_year</f>
        <v>433333.33333333331</v>
      </c>
      <c r="C24" s="199">
        <f>'2b) Schedules'!$C$6/Months_in_year</f>
        <v>433333.33333333331</v>
      </c>
      <c r="D24" s="199">
        <f>'2b) Schedules'!$C$6/Months_in_year</f>
        <v>433333.33333333331</v>
      </c>
      <c r="E24" s="199">
        <f>'2b) Schedules'!$C$6/Months_in_year</f>
        <v>433333.33333333331</v>
      </c>
      <c r="F24" s="199">
        <f>'2b) Schedules'!$C$6/Months_in_year</f>
        <v>433333.33333333331</v>
      </c>
      <c r="G24" s="199">
        <f>'2b) Schedules'!$C$6/Months_in_year</f>
        <v>433333.33333333331</v>
      </c>
      <c r="H24" s="199">
        <f>'2b) Schedules'!$C$6/Months_in_year</f>
        <v>433333.33333333331</v>
      </c>
      <c r="I24" s="199">
        <f>'2b) Schedules'!$C$6/Months_in_year</f>
        <v>433333.33333333331</v>
      </c>
      <c r="J24" s="199">
        <f>'2b) Schedules'!$C$6/Months_in_year</f>
        <v>433333.33333333331</v>
      </c>
      <c r="K24" s="199">
        <f>'2b) Schedules'!$C$6/Months_in_year</f>
        <v>433333.33333333331</v>
      </c>
      <c r="L24" s="199">
        <f>'2b) Schedules'!$C$6/Months_in_year</f>
        <v>433333.33333333331</v>
      </c>
      <c r="M24" s="199">
        <f>'2b) Schedules'!$C$6/Months_in_year</f>
        <v>433333.33333333331</v>
      </c>
      <c r="N24" s="200">
        <f>('2b) Schedules'!$C$7/Months_in_year)</f>
        <v>884000</v>
      </c>
      <c r="O24" s="199">
        <f>('2b) Schedules'!$C$7/Months_in_year)</f>
        <v>884000</v>
      </c>
      <c r="P24" s="199">
        <f>('2b) Schedules'!$C$7/Months_in_year)</f>
        <v>884000</v>
      </c>
      <c r="Q24" s="199">
        <f>('2b) Schedules'!$C$7/Months_in_year)</f>
        <v>884000</v>
      </c>
      <c r="R24" s="199">
        <f>('2b) Schedules'!$C$7/Months_in_year)</f>
        <v>884000</v>
      </c>
      <c r="S24" s="199">
        <f>('2b) Schedules'!$C$7/Months_in_year)</f>
        <v>884000</v>
      </c>
      <c r="T24" s="199">
        <f>('2b) Schedules'!$C$7/Months_in_year)</f>
        <v>884000</v>
      </c>
      <c r="U24" s="199">
        <f>('2b) Schedules'!$C$7/Months_in_year)</f>
        <v>884000</v>
      </c>
      <c r="V24" s="199">
        <f>('2b) Schedules'!$C$7/Months_in_year)</f>
        <v>884000</v>
      </c>
      <c r="W24" s="199">
        <f>('2b) Schedules'!$C$7/Months_in_year)</f>
        <v>884000</v>
      </c>
      <c r="X24" s="199">
        <f>('2b) Schedules'!$C$7/Months_in_year)</f>
        <v>884000</v>
      </c>
      <c r="Y24" s="199">
        <f>('2b) Schedules'!$C$7/Months_in_year)</f>
        <v>884000</v>
      </c>
    </row>
    <row r="25" spans="1:25" ht="15.75" customHeight="1">
      <c r="A25" s="2" t="s">
        <v>175</v>
      </c>
      <c r="B25" s="199">
        <f>'2a), 4) Inputs'!$B$88</f>
        <v>0</v>
      </c>
      <c r="C25" s="199">
        <f>'2a), 4) Inputs'!$B$88</f>
        <v>0</v>
      </c>
      <c r="D25" s="199">
        <f>'2a), 4) Inputs'!$B$88</f>
        <v>0</v>
      </c>
      <c r="E25" s="199">
        <f>'2a), 4) Inputs'!$B$88</f>
        <v>0</v>
      </c>
      <c r="F25" s="199">
        <f>'2a), 4) Inputs'!$B$88</f>
        <v>0</v>
      </c>
      <c r="G25" s="199">
        <f>'2a), 4) Inputs'!$B$88</f>
        <v>0</v>
      </c>
      <c r="H25" s="199">
        <f>'2a), 4) Inputs'!$B$88</f>
        <v>0</v>
      </c>
      <c r="I25" s="199">
        <f>'2a), 4) Inputs'!$B$88</f>
        <v>0</v>
      </c>
      <c r="J25" s="199">
        <f>'2a), 4) Inputs'!$B$88</f>
        <v>0</v>
      </c>
      <c r="K25" s="199">
        <f>'2a), 4) Inputs'!$B$88</f>
        <v>0</v>
      </c>
      <c r="L25" s="199">
        <f>'2a), 4) Inputs'!$B$88</f>
        <v>0</v>
      </c>
      <c r="M25" s="199">
        <f>'2a), 4) Inputs'!$B$88</f>
        <v>0</v>
      </c>
      <c r="N25" s="200">
        <f>('2b) Schedules'!$R$20/Months_in_year)</f>
        <v>638888.88888888888</v>
      </c>
      <c r="O25" s="199">
        <f>('2b) Schedules'!$R$20/Months_in_year)</f>
        <v>638888.88888888888</v>
      </c>
      <c r="P25" s="199">
        <f>('2b) Schedules'!$R$20/Months_in_year)</f>
        <v>638888.88888888888</v>
      </c>
      <c r="Q25" s="199">
        <f>('2b) Schedules'!$R$20/Months_in_year)</f>
        <v>638888.88888888888</v>
      </c>
      <c r="R25" s="199">
        <f>('2b) Schedules'!$R$20/Months_in_year)</f>
        <v>638888.88888888888</v>
      </c>
      <c r="S25" s="199">
        <f>('2b) Schedules'!$R$20/Months_in_year)</f>
        <v>638888.88888888888</v>
      </c>
      <c r="T25" s="199">
        <f>('2b) Schedules'!$R$20/Months_in_year)</f>
        <v>638888.88888888888</v>
      </c>
      <c r="U25" s="199">
        <f>('2b) Schedules'!$R$20/Months_in_year)</f>
        <v>638888.88888888888</v>
      </c>
      <c r="V25" s="199">
        <f>('2b) Schedules'!$R$20/Months_in_year)</f>
        <v>638888.88888888888</v>
      </c>
      <c r="W25" s="199">
        <f>('2b) Schedules'!$R$20/Months_in_year)</f>
        <v>638888.88888888888</v>
      </c>
      <c r="X25" s="199">
        <f>('2b) Schedules'!$R$20/Months_in_year)</f>
        <v>638888.88888888888</v>
      </c>
      <c r="Y25" s="199">
        <f>('2b) Schedules'!$R$20/Months_in_year)</f>
        <v>638888.88888888888</v>
      </c>
    </row>
    <row r="26" spans="1:25" ht="15.75" customHeight="1">
      <c r="B26" s="12"/>
      <c r="C26" s="12"/>
      <c r="D26" s="12"/>
      <c r="E26" s="12"/>
      <c r="F26" s="12"/>
      <c r="G26" s="12"/>
      <c r="H26" s="12"/>
      <c r="I26" s="12"/>
      <c r="J26" s="12"/>
      <c r="K26" s="12"/>
      <c r="L26" s="12"/>
      <c r="M26" s="12"/>
      <c r="N26" s="91"/>
      <c r="O26" s="26"/>
      <c r="P26" s="26"/>
      <c r="Q26" s="26"/>
      <c r="R26" s="26"/>
      <c r="S26" s="26"/>
      <c r="T26" s="26"/>
      <c r="U26" s="26"/>
      <c r="V26" s="26"/>
      <c r="W26" s="26"/>
      <c r="X26" s="26"/>
      <c r="Y26" s="26"/>
    </row>
    <row r="27" spans="1:25" ht="15.75" customHeight="1">
      <c r="A27" s="1" t="s">
        <v>299</v>
      </c>
      <c r="B27" s="12">
        <f t="shared" ref="B27:M27" si="11">B23-B24-B25</f>
        <v>-433333.33333333331</v>
      </c>
      <c r="C27" s="12">
        <f t="shared" si="11"/>
        <v>-433333.33333333331</v>
      </c>
      <c r="D27" s="12">
        <f t="shared" si="11"/>
        <v>-433333.33333333331</v>
      </c>
      <c r="E27" s="12">
        <f t="shared" si="11"/>
        <v>-433333.33333333331</v>
      </c>
      <c r="F27" s="12">
        <f t="shared" si="11"/>
        <v>-433333.33333333331</v>
      </c>
      <c r="G27" s="12">
        <f t="shared" si="11"/>
        <v>-433333.33333333331</v>
      </c>
      <c r="H27" s="12">
        <f t="shared" si="11"/>
        <v>-433333.33333333331</v>
      </c>
      <c r="I27" s="12">
        <f t="shared" si="11"/>
        <v>-433333.33333333331</v>
      </c>
      <c r="J27" s="12">
        <f t="shared" si="11"/>
        <v>-433333.33333333331</v>
      </c>
      <c r="K27" s="12">
        <f t="shared" si="11"/>
        <v>-433333.33333333331</v>
      </c>
      <c r="L27" s="12">
        <f t="shared" si="11"/>
        <v>-433333.33333333331</v>
      </c>
      <c r="M27" s="12">
        <f t="shared" si="11"/>
        <v>-433333.33333333331</v>
      </c>
      <c r="N27" s="91">
        <f t="shared" ref="N27:Y27" si="12">N23-SUM(N24:N25)</f>
        <v>6934380.6251426013</v>
      </c>
      <c r="O27" s="26">
        <f t="shared" si="12"/>
        <v>5654585.963951637</v>
      </c>
      <c r="P27" s="26">
        <f t="shared" si="12"/>
        <v>6934380.6251426013</v>
      </c>
      <c r="Q27" s="26">
        <f t="shared" si="12"/>
        <v>6469000.7483458864</v>
      </c>
      <c r="R27" s="26">
        <f t="shared" si="12"/>
        <v>6934380.6251426013</v>
      </c>
      <c r="S27" s="26">
        <f t="shared" si="12"/>
        <v>6469000.7483458864</v>
      </c>
      <c r="T27" s="26">
        <f t="shared" si="12"/>
        <v>6934380.6251426013</v>
      </c>
      <c r="U27" s="26">
        <f t="shared" si="12"/>
        <v>6934380.6251426013</v>
      </c>
      <c r="V27" s="26">
        <f t="shared" si="12"/>
        <v>6469000.7483458864</v>
      </c>
      <c r="W27" s="26">
        <f t="shared" si="12"/>
        <v>6934380.6251426013</v>
      </c>
      <c r="X27" s="26">
        <f t="shared" si="12"/>
        <v>6469000.7483458864</v>
      </c>
      <c r="Y27" s="26">
        <f t="shared" si="12"/>
        <v>6934380.6251426013</v>
      </c>
    </row>
    <row r="28" spans="1:25" ht="15.75" customHeight="1">
      <c r="A28" s="2" t="s">
        <v>121</v>
      </c>
      <c r="B28" s="206">
        <f>B27*Corporate_tax_rate</f>
        <v>0</v>
      </c>
      <c r="C28" s="206">
        <f t="shared" ref="C28:M28" si="13">C27*Corporate_tax_rate</f>
        <v>0</v>
      </c>
      <c r="D28" s="206">
        <f t="shared" si="13"/>
        <v>0</v>
      </c>
      <c r="E28" s="206">
        <f t="shared" si="13"/>
        <v>0</v>
      </c>
      <c r="F28" s="206">
        <f t="shared" si="13"/>
        <v>0</v>
      </c>
      <c r="G28" s="206">
        <f t="shared" si="13"/>
        <v>0</v>
      </c>
      <c r="H28" s="206">
        <f t="shared" si="13"/>
        <v>0</v>
      </c>
      <c r="I28" s="206">
        <f t="shared" si="13"/>
        <v>0</v>
      </c>
      <c r="J28" s="206">
        <f t="shared" si="13"/>
        <v>0</v>
      </c>
      <c r="K28" s="206">
        <f t="shared" si="13"/>
        <v>0</v>
      </c>
      <c r="L28" s="206">
        <f t="shared" si="13"/>
        <v>0</v>
      </c>
      <c r="M28" s="206">
        <f t="shared" si="13"/>
        <v>0</v>
      </c>
      <c r="N28" s="200">
        <f t="shared" ref="N28:Y28" si="14">N27*(Corporate_tax_rate)</f>
        <v>0</v>
      </c>
      <c r="O28" s="206">
        <f t="shared" si="14"/>
        <v>0</v>
      </c>
      <c r="P28" s="206">
        <f t="shared" si="14"/>
        <v>0</v>
      </c>
      <c r="Q28" s="206">
        <f t="shared" si="14"/>
        <v>0</v>
      </c>
      <c r="R28" s="206">
        <f t="shared" si="14"/>
        <v>0</v>
      </c>
      <c r="S28" s="206">
        <f t="shared" si="14"/>
        <v>0</v>
      </c>
      <c r="T28" s="206">
        <f t="shared" si="14"/>
        <v>0</v>
      </c>
      <c r="U28" s="206">
        <f t="shared" si="14"/>
        <v>0</v>
      </c>
      <c r="V28" s="206">
        <f t="shared" si="14"/>
        <v>0</v>
      </c>
      <c r="W28" s="206">
        <f t="shared" si="14"/>
        <v>0</v>
      </c>
      <c r="X28" s="206">
        <f t="shared" si="14"/>
        <v>0</v>
      </c>
      <c r="Y28" s="206">
        <f t="shared" si="14"/>
        <v>0</v>
      </c>
    </row>
    <row r="29" spans="1:25" ht="15.75" customHeight="1">
      <c r="B29" s="249"/>
      <c r="C29" s="12"/>
      <c r="D29" s="12"/>
      <c r="E29" s="12"/>
      <c r="F29" s="12"/>
      <c r="G29" s="12"/>
      <c r="H29" s="12"/>
      <c r="I29" s="12"/>
      <c r="J29" s="12"/>
      <c r="K29" s="12"/>
      <c r="L29" s="12"/>
      <c r="M29" s="12"/>
      <c r="N29" s="91"/>
      <c r="O29" s="26"/>
      <c r="P29" s="26"/>
      <c r="Q29" s="26"/>
      <c r="R29" s="26"/>
      <c r="S29" s="26"/>
      <c r="T29" s="26"/>
      <c r="U29" s="26"/>
      <c r="V29" s="26"/>
      <c r="W29" s="26"/>
      <c r="X29" s="26"/>
      <c r="Y29" s="26"/>
    </row>
    <row r="30" spans="1:25" ht="15.75" customHeight="1" thickBot="1">
      <c r="A30" s="1" t="s">
        <v>122</v>
      </c>
      <c r="B30" s="195">
        <f>B27-B28</f>
        <v>-433333.33333333331</v>
      </c>
      <c r="C30" s="195">
        <f t="shared" ref="C30:M30" si="15">C27-C28</f>
        <v>-433333.33333333331</v>
      </c>
      <c r="D30" s="195">
        <f t="shared" si="15"/>
        <v>-433333.33333333331</v>
      </c>
      <c r="E30" s="195">
        <f t="shared" si="15"/>
        <v>-433333.33333333331</v>
      </c>
      <c r="F30" s="195">
        <f t="shared" si="15"/>
        <v>-433333.33333333331</v>
      </c>
      <c r="G30" s="195">
        <f t="shared" si="15"/>
        <v>-433333.33333333331</v>
      </c>
      <c r="H30" s="195">
        <f t="shared" si="15"/>
        <v>-433333.33333333331</v>
      </c>
      <c r="I30" s="195">
        <f t="shared" si="15"/>
        <v>-433333.33333333331</v>
      </c>
      <c r="J30" s="195">
        <f t="shared" si="15"/>
        <v>-433333.33333333331</v>
      </c>
      <c r="K30" s="195">
        <f t="shared" si="15"/>
        <v>-433333.33333333331</v>
      </c>
      <c r="L30" s="195">
        <f t="shared" si="15"/>
        <v>-433333.33333333331</v>
      </c>
      <c r="M30" s="195">
        <f t="shared" si="15"/>
        <v>-433333.33333333331</v>
      </c>
      <c r="N30" s="196">
        <f>N27-N28</f>
        <v>6934380.6251426013</v>
      </c>
      <c r="O30" s="195">
        <f t="shared" ref="O30:Y30" si="16">O27-O28</f>
        <v>5654585.963951637</v>
      </c>
      <c r="P30" s="195">
        <f t="shared" si="16"/>
        <v>6934380.6251426013</v>
      </c>
      <c r="Q30" s="195">
        <f t="shared" si="16"/>
        <v>6469000.7483458864</v>
      </c>
      <c r="R30" s="195">
        <f t="shared" si="16"/>
        <v>6934380.6251426013</v>
      </c>
      <c r="S30" s="195">
        <f t="shared" si="16"/>
        <v>6469000.7483458864</v>
      </c>
      <c r="T30" s="195">
        <f t="shared" si="16"/>
        <v>6934380.6251426013</v>
      </c>
      <c r="U30" s="195">
        <f t="shared" si="16"/>
        <v>6934380.6251426013</v>
      </c>
      <c r="V30" s="195">
        <f t="shared" si="16"/>
        <v>6469000.7483458864</v>
      </c>
      <c r="W30" s="195">
        <f t="shared" si="16"/>
        <v>6934380.6251426013</v>
      </c>
      <c r="X30" s="195">
        <f t="shared" si="16"/>
        <v>6469000.7483458864</v>
      </c>
      <c r="Y30" s="195">
        <f t="shared" si="16"/>
        <v>6934380.6251426013</v>
      </c>
    </row>
    <row r="31" spans="1:25" ht="15.75" customHeight="1" thickTop="1">
      <c r="A31" s="1"/>
      <c r="B31" s="12"/>
      <c r="C31" s="12"/>
      <c r="D31" s="12"/>
      <c r="E31" s="12"/>
      <c r="F31" s="12"/>
      <c r="G31" s="12"/>
      <c r="H31" s="12"/>
      <c r="I31" s="12"/>
      <c r="J31" s="12"/>
      <c r="K31" s="12"/>
      <c r="L31" s="12"/>
      <c r="M31" s="12"/>
      <c r="N31" s="91"/>
      <c r="O31" s="26"/>
      <c r="P31" s="26"/>
      <c r="Q31" s="26"/>
      <c r="R31" s="26"/>
      <c r="S31" s="26"/>
      <c r="T31" s="26"/>
      <c r="U31" s="26"/>
      <c r="V31" s="26"/>
      <c r="W31" s="26"/>
      <c r="X31" s="26"/>
      <c r="Y31" s="26"/>
    </row>
    <row r="32" spans="1:25" ht="15.75" customHeight="1">
      <c r="A32" s="1" t="s">
        <v>123</v>
      </c>
      <c r="B32" s="12">
        <f>B30</f>
        <v>-433333.33333333331</v>
      </c>
      <c r="C32" s="12">
        <f t="shared" ref="C32:L32" si="17">B32+C30</f>
        <v>-866666.66666666663</v>
      </c>
      <c r="D32" s="12">
        <f t="shared" si="17"/>
        <v>-1300000</v>
      </c>
      <c r="E32" s="12">
        <f t="shared" si="17"/>
        <v>-1733333.3333333333</v>
      </c>
      <c r="F32" s="12">
        <f t="shared" si="17"/>
        <v>-2166666.6666666665</v>
      </c>
      <c r="G32" s="12">
        <f t="shared" si="17"/>
        <v>-2600000</v>
      </c>
      <c r="H32" s="12">
        <f t="shared" si="17"/>
        <v>-3033333.3333333335</v>
      </c>
      <c r="I32" s="12">
        <f t="shared" si="17"/>
        <v>-3466666.666666667</v>
      </c>
      <c r="J32" s="12">
        <f t="shared" si="17"/>
        <v>-3900000.0000000005</v>
      </c>
      <c r="K32" s="12">
        <f t="shared" si="17"/>
        <v>-4333333.333333334</v>
      </c>
      <c r="L32" s="12">
        <f t="shared" si="17"/>
        <v>-4766666.666666667</v>
      </c>
      <c r="M32" s="12">
        <f>L32+M30</f>
        <v>-5200000</v>
      </c>
      <c r="N32" s="91">
        <f t="shared" ref="N32" si="18">M32+N30</f>
        <v>1734380.6251426013</v>
      </c>
      <c r="O32" s="26">
        <f t="shared" ref="O32:Y32" si="19">N32+O30</f>
        <v>7388966.5890942384</v>
      </c>
      <c r="P32" s="26">
        <f t="shared" si="19"/>
        <v>14323347.214236841</v>
      </c>
      <c r="Q32" s="26">
        <f t="shared" si="19"/>
        <v>20792347.962582726</v>
      </c>
      <c r="R32" s="26">
        <f t="shared" si="19"/>
        <v>27726728.587725326</v>
      </c>
      <c r="S32" s="26">
        <f t="shared" si="19"/>
        <v>34195729.336071216</v>
      </c>
      <c r="T32" s="26">
        <f t="shared" si="19"/>
        <v>41130109.96121382</v>
      </c>
      <c r="U32" s="26">
        <f t="shared" si="19"/>
        <v>48064490.586356424</v>
      </c>
      <c r="V32" s="26">
        <f t="shared" si="19"/>
        <v>54533491.334702313</v>
      </c>
      <c r="W32" s="26">
        <f t="shared" si="19"/>
        <v>61467871.959844917</v>
      </c>
      <c r="X32" s="26">
        <f t="shared" si="19"/>
        <v>67936872.708190799</v>
      </c>
      <c r="Y32" s="26">
        <f t="shared" si="19"/>
        <v>74871253.333333403</v>
      </c>
    </row>
    <row r="33" spans="1:25" ht="15.75" customHeight="1"/>
    <row r="34" spans="1:25" ht="15.75" customHeight="1">
      <c r="B34" s="11"/>
      <c r="C34" s="11"/>
      <c r="D34" s="11"/>
      <c r="O34" s="11"/>
      <c r="P34" s="11"/>
      <c r="Q34" s="11"/>
      <c r="R34" s="11"/>
      <c r="S34" s="11"/>
      <c r="T34" s="11"/>
      <c r="U34" s="11"/>
      <c r="V34" s="11"/>
      <c r="W34" s="11"/>
      <c r="X34" s="11"/>
      <c r="Y34" s="11"/>
    </row>
    <row r="35" spans="1:25" ht="15.75" customHeight="1">
      <c r="A35" s="11"/>
      <c r="B35" s="207" t="s">
        <v>90</v>
      </c>
      <c r="C35" s="207" t="s">
        <v>91</v>
      </c>
      <c r="D35" s="207" t="s">
        <v>92</v>
      </c>
      <c r="E35" s="11"/>
    </row>
    <row r="36" spans="1:25" ht="15.75" customHeight="1">
      <c r="A36" s="2" t="s">
        <v>119</v>
      </c>
      <c r="B36" s="199">
        <f>('2b) Schedules'!R14*Quantity_demand_Y2)*(Increment+Gas_demand_rate)</f>
        <v>809164292.99999988</v>
      </c>
      <c r="C36" s="199">
        <f>('2b) Schedules'!S14*Quantity_demand_Y2)*(Increment+Gas_demand_rate)*(Increment+Gas_demand_rate)</f>
        <v>825408266.18197465</v>
      </c>
      <c r="D36" s="199">
        <f>('2b) Schedules'!T14*Quantity_demand_Y2)*(Increment+Gas_demand_rate)*(Increment+Gas_demand_rate)*(Increment+Gas_demand_rate)</f>
        <v>841978337.12557757</v>
      </c>
      <c r="I36" s="52"/>
    </row>
    <row r="37" spans="1:25" ht="15.75" customHeight="1">
      <c r="A37" s="2" t="s">
        <v>296</v>
      </c>
      <c r="B37" s="201">
        <f>('2b) Schedules'!R15*Quantity_demand_Y2)*(Increment+Gas_demand_rate)</f>
        <v>635771944.49999988</v>
      </c>
      <c r="C37" s="201">
        <f>('2b) Schedules'!S15*Quantity_demand_Y2)*(Increment+Gas_demand_rate)*(Increment+Gas_demand_rate)</f>
        <v>648535066.28583717</v>
      </c>
      <c r="D37" s="201">
        <f>('2b) Schedules'!T15*Quantity_demand_Y2)*(Increment+Gas_demand_rate)*(Increment+Gas_demand_rate)*(Increment+Gas_demand_rate)</f>
        <v>661554407.74152517</v>
      </c>
      <c r="N37" s="5"/>
    </row>
    <row r="38" spans="1:25" ht="15.75" customHeight="1">
      <c r="A38" s="1" t="s">
        <v>98</v>
      </c>
      <c r="B38" s="26">
        <f>B36-B37</f>
        <v>173392348.5</v>
      </c>
      <c r="C38" s="26">
        <f>C36-C37</f>
        <v>176873199.89613748</v>
      </c>
      <c r="D38" s="26">
        <f>D36-D37</f>
        <v>180423929.3840524</v>
      </c>
      <c r="H38" s="11"/>
      <c r="I38" s="11"/>
      <c r="J38" s="11"/>
      <c r="K38" s="11"/>
      <c r="L38" s="11"/>
      <c r="M38" s="11"/>
    </row>
    <row r="39" spans="1:25" ht="15.75" customHeight="1">
      <c r="B39" s="26"/>
      <c r="C39" s="26"/>
      <c r="D39" s="26"/>
      <c r="H39" s="11"/>
      <c r="I39" s="11"/>
      <c r="J39" s="11"/>
      <c r="K39" s="11"/>
      <c r="L39" s="11"/>
      <c r="M39" s="11"/>
    </row>
    <row r="40" spans="1:25" ht="15.75" customHeight="1">
      <c r="A40" s="1" t="s">
        <v>295</v>
      </c>
      <c r="B40" s="26"/>
      <c r="C40" s="26"/>
      <c r="D40" s="26"/>
      <c r="H40" s="11"/>
      <c r="I40" s="11"/>
      <c r="J40" s="11"/>
      <c r="K40" s="11"/>
      <c r="L40" s="11"/>
      <c r="M40" s="11"/>
    </row>
    <row r="41" spans="1:25" ht="15.75" customHeight="1">
      <c r="A41" s="57" t="s">
        <v>186</v>
      </c>
      <c r="B41" s="199">
        <f>Carbon_offset*(Increment+Carbon_offset_rate)</f>
        <v>34287000</v>
      </c>
      <c r="C41" s="199">
        <f>Carbon_offset*(Increment+Carbon_offset_rate)*(Increment+Carbon_offset_rate)</f>
        <v>35624193</v>
      </c>
      <c r="D41" s="199">
        <f>Carbon_offset*(Increment+Carbon_offset_rate)*(Increment+Carbon_offset_rate)*(Increment+Y5_CO_Rate)</f>
        <v>71248386</v>
      </c>
      <c r="H41" s="11"/>
      <c r="I41" s="11"/>
      <c r="J41" s="11"/>
      <c r="K41" s="11"/>
      <c r="L41" s="11"/>
      <c r="M41" s="11"/>
    </row>
    <row r="42" spans="1:25" ht="15.75" customHeight="1">
      <c r="A42" s="57" t="s">
        <v>149</v>
      </c>
      <c r="B42" s="199">
        <f>Port_fee*'2a), 4) Inputs'!H8*(Increment+Inflation_rate)</f>
        <v>24562999.999999996</v>
      </c>
      <c r="C42" s="199">
        <f>Port_fee*'2a), 4) Inputs'!H9*(Increment+Inflation_rate)*(Increment+Inflation_rate)</f>
        <v>25158094.499999993</v>
      </c>
      <c r="D42" s="199">
        <f>Port_fee*'2a), 4) Inputs'!H10*(Increment+Inflation_rate)*(Increment+Inflation_rate)*(Increment+Inflation_rate)</f>
        <v>25535465.917499989</v>
      </c>
      <c r="H42" s="11"/>
      <c r="I42" s="11"/>
      <c r="J42" s="11"/>
      <c r="K42" s="11"/>
      <c r="L42" s="11"/>
      <c r="M42" s="11"/>
    </row>
    <row r="43" spans="1:25" ht="15.75" customHeight="1">
      <c r="A43" s="57" t="s">
        <v>181</v>
      </c>
      <c r="B43" s="199">
        <f>Operating_expense*'2a), 4) Inputs'!H8*(Increment+Inflation_rate)</f>
        <v>4466000</v>
      </c>
      <c r="C43" s="199">
        <f>Operating_expense*'2a), 4) Inputs'!H9*(Increment+Inflation_rate)*(Increment+Inflation_rate)</f>
        <v>4574199</v>
      </c>
      <c r="D43" s="199">
        <f>Operating_expense*'2a), 4) Inputs'!H10*(Increment+Inflation_rate)*(Increment+Inflation_rate)*(Increment+Inflation_rate)</f>
        <v>4642811.9849999994</v>
      </c>
      <c r="H43" s="11"/>
      <c r="I43" s="11"/>
      <c r="J43" s="11"/>
      <c r="K43" s="11"/>
      <c r="L43" s="11"/>
      <c r="M43" s="11"/>
    </row>
    <row r="44" spans="1:25" ht="15.75" customHeight="1">
      <c r="A44" s="57" t="s">
        <v>298</v>
      </c>
      <c r="B44" s="168">
        <f>Annual_salary_base_costs*(Increment+Inflation_rate)</f>
        <v>3116228.0701754377</v>
      </c>
      <c r="C44" s="168">
        <f>Annual_salary_base_costs*(Increment+Inflation_rate)*(Increment+Inflation_rate)</f>
        <v>3162971.4912280692</v>
      </c>
      <c r="D44" s="168">
        <f>Annual_salary_base_costs*(Increment+Inflation_rate)*(Increment+Inflation_rate)*(Increment+Inflation_rate)</f>
        <v>3210416.0635964898</v>
      </c>
      <c r="H44" s="11"/>
      <c r="I44" s="11"/>
      <c r="J44" s="11"/>
      <c r="K44" s="11"/>
      <c r="L44" s="11"/>
      <c r="M44" s="11"/>
    </row>
    <row r="45" spans="1:25" ht="15.75" customHeight="1">
      <c r="A45" s="57" t="s">
        <v>182</v>
      </c>
      <c r="B45" s="199">
        <f>General_maintenance*(Increment+Inflation_rate)</f>
        <v>2029999.9999999998</v>
      </c>
      <c r="C45" s="199">
        <f>General_maintenance*(Increment+Inflation_rate)*(Increment+Inflation_rate)</f>
        <v>2060449.9999999995</v>
      </c>
      <c r="D45" s="199">
        <f>General_maintenance*(Increment+Inflation_rate)*(Increment+Inflation_rate)*(Increment+Inflation_rate)</f>
        <v>2091356.7499999993</v>
      </c>
      <c r="H45" s="11"/>
      <c r="I45" s="11"/>
      <c r="J45" s="11"/>
      <c r="K45" s="11"/>
      <c r="L45" s="11"/>
      <c r="M45" s="11"/>
    </row>
    <row r="46" spans="1:25" ht="15.75" customHeight="1">
      <c r="A46" s="57" t="s">
        <v>183</v>
      </c>
      <c r="B46" s="199">
        <f>Stores_and_lubricants*(Increment+Inflation_rate)</f>
        <v>2029999.9999999998</v>
      </c>
      <c r="C46" s="199">
        <f>Stores_and_lubricants*(Increment+Inflation_rate)*(Increment+Inflation_rate)</f>
        <v>2060449.9999999995</v>
      </c>
      <c r="D46" s="199">
        <f>Stores_and_lubricants*(Increment+Inflation_rate)*(Increment+Inflation_rate)*(Increment+Inflation_rate)</f>
        <v>2091356.7499999993</v>
      </c>
      <c r="H46" s="11"/>
      <c r="I46" s="11"/>
      <c r="J46" s="11"/>
      <c r="K46" s="11"/>
      <c r="L46" s="11"/>
      <c r="M46" s="11"/>
    </row>
    <row r="47" spans="1:25" ht="15.75" customHeight="1">
      <c r="A47" s="57" t="s">
        <v>180</v>
      </c>
      <c r="B47" s="199">
        <f>Insurance_expense*(Increment+Inflation_rate)</f>
        <v>1826999.9999999998</v>
      </c>
      <c r="C47" s="199">
        <f>Insurance_expense*(Increment+Inflation_rate)*(Increment+Inflation_rate)</f>
        <v>1854404.9999999995</v>
      </c>
      <c r="D47" s="199">
        <f>Insurance_expense*(Increment+Inflation_rate)*(Increment+Inflation_rate)*(Increment+Inflation_rate)</f>
        <v>1882221.0749999993</v>
      </c>
      <c r="H47" s="11"/>
      <c r="I47" s="11"/>
      <c r="J47" s="11"/>
      <c r="K47" s="11"/>
      <c r="L47" s="11"/>
      <c r="M47" s="11"/>
    </row>
    <row r="48" spans="1:25" ht="15.75" customHeight="1">
      <c r="A48" s="57" t="s">
        <v>184</v>
      </c>
      <c r="B48" s="199">
        <f>(Tons_per_trip*Price_per_ton*'2a), 4) Inputs'!H8)*(Increment+Inflation_rate)</f>
        <v>1018247.9999999999</v>
      </c>
      <c r="C48" s="199">
        <f>(Price_per_ton*Tons_per_trip*'2a), 4) Inputs'!H9)*(Increment+Inflation_rate)*(Increment+Inflation_rate)</f>
        <v>1042917.3719999999</v>
      </c>
      <c r="D48" s="199">
        <f>(Price_per_ton*Tons_per_trip*'2a), 4) Inputs'!H10)*(Increment+Inflation_rate)*(Increment+Inflation_rate)*(Increment+Inflation_rate)</f>
        <v>1058561.1325799997</v>
      </c>
      <c r="H48" s="11"/>
      <c r="I48" s="11"/>
      <c r="J48" s="11"/>
      <c r="K48" s="11"/>
      <c r="L48" s="11"/>
      <c r="M48" s="11"/>
    </row>
    <row r="49" spans="1:14" ht="15.75" customHeight="1">
      <c r="A49" s="57" t="s">
        <v>185</v>
      </c>
      <c r="B49" s="168">
        <f>Employer_contribution*(Increment+Inflation_rate)</f>
        <v>436271.92982456135</v>
      </c>
      <c r="C49" s="168">
        <f>Employer_contribution*(Increment+Inflation_rate)*(Increment+Inflation_rate)</f>
        <v>442816.00877192972</v>
      </c>
      <c r="D49" s="168">
        <f>Employer_contribution*(Increment+Inflation_rate)*(Increment+Inflation_rate)*(Increment+Inflation_rate)</f>
        <v>449458.24890350859</v>
      </c>
      <c r="H49" s="11"/>
      <c r="I49" s="11"/>
      <c r="J49" s="11"/>
      <c r="K49" s="11"/>
      <c r="L49" s="11"/>
      <c r="M49" s="11"/>
    </row>
    <row r="50" spans="1:14" ht="15.75" customHeight="1">
      <c r="A50" s="204" t="s">
        <v>189</v>
      </c>
      <c r="B50" s="201">
        <f>Port_Damage_Expense</f>
        <v>499999.99999999988</v>
      </c>
      <c r="C50" s="197"/>
      <c r="D50" s="198"/>
      <c r="E50" s="11"/>
      <c r="H50" s="11"/>
      <c r="I50" s="11"/>
      <c r="J50" s="11"/>
      <c r="K50" s="11"/>
      <c r="L50" s="11"/>
      <c r="M50" s="11"/>
      <c r="N50" s="5"/>
    </row>
    <row r="51" spans="1:14" ht="15.75" customHeight="1">
      <c r="A51" s="205" t="s">
        <v>297</v>
      </c>
      <c r="B51" s="26">
        <f>SUM(B41:B50)</f>
        <v>74273748</v>
      </c>
      <c r="C51" s="12">
        <f>SUM(C41:C50)</f>
        <v>75980496.371999979</v>
      </c>
      <c r="D51" s="12">
        <f>SUM(D41:D50)</f>
        <v>112210033.92257999</v>
      </c>
      <c r="E51" s="11"/>
      <c r="H51" s="11"/>
      <c r="I51" s="11"/>
      <c r="J51" s="11"/>
      <c r="K51" s="11"/>
      <c r="L51" s="11"/>
      <c r="M51" s="11"/>
      <c r="N51" s="5"/>
    </row>
    <row r="52" spans="1:14" ht="15.75" customHeight="1">
      <c r="B52" s="11"/>
      <c r="C52" s="11"/>
      <c r="D52" s="11"/>
      <c r="H52" s="11"/>
      <c r="I52" s="11"/>
      <c r="J52" s="11"/>
      <c r="K52" s="11"/>
      <c r="L52" s="11"/>
      <c r="M52" s="11"/>
    </row>
    <row r="53" spans="1:14" ht="15.75" customHeight="1">
      <c r="A53" s="1" t="s">
        <v>120</v>
      </c>
      <c r="B53" s="26">
        <f>B38-B51</f>
        <v>99118600.5</v>
      </c>
      <c r="C53" s="26">
        <f>C38-C51</f>
        <v>100892703.5241375</v>
      </c>
      <c r="D53" s="26">
        <f>D38-D51</f>
        <v>68213895.461472407</v>
      </c>
      <c r="H53" s="11"/>
      <c r="I53" s="11"/>
      <c r="J53" s="11"/>
      <c r="K53" s="11"/>
      <c r="L53" s="11"/>
      <c r="M53" s="11"/>
    </row>
    <row r="54" spans="1:14" ht="15.75" customHeight="1">
      <c r="A54" s="2" t="s">
        <v>22</v>
      </c>
      <c r="B54" s="199">
        <f>'2b) Schedules'!C8</f>
        <v>10418858.30839012</v>
      </c>
      <c r="C54" s="199">
        <f>'2b) Schedules'!C9</f>
        <v>10222150.949115846</v>
      </c>
      <c r="D54" s="199">
        <f>'2b) Schedules'!C10</f>
        <v>10017575.295470601</v>
      </c>
      <c r="H54" s="11"/>
      <c r="I54" s="11"/>
      <c r="J54" s="11"/>
      <c r="K54" s="11"/>
      <c r="L54" s="11"/>
      <c r="M54" s="11"/>
    </row>
    <row r="55" spans="1:14" ht="15.75" customHeight="1">
      <c r="A55" s="2" t="s">
        <v>175</v>
      </c>
      <c r="B55" s="199">
        <f>'2b) Schedules'!$R$20</f>
        <v>7666666.666666667</v>
      </c>
      <c r="C55" s="199">
        <f>'2b) Schedules'!$R$20</f>
        <v>7666666.666666667</v>
      </c>
      <c r="D55" s="199">
        <f>'2b) Schedules'!$R$20</f>
        <v>7666666.666666667</v>
      </c>
      <c r="H55" s="11"/>
      <c r="I55" s="11"/>
      <c r="J55" s="11"/>
      <c r="K55" s="11"/>
      <c r="L55" s="11"/>
      <c r="M55" s="11"/>
    </row>
    <row r="56" spans="1:14" ht="15.75" customHeight="1">
      <c r="B56" s="26"/>
      <c r="C56" s="26"/>
      <c r="D56" s="26"/>
      <c r="H56" s="11"/>
      <c r="I56" s="11"/>
      <c r="J56" s="11"/>
      <c r="K56" s="11"/>
      <c r="L56" s="11"/>
      <c r="M56" s="11"/>
    </row>
    <row r="57" spans="1:14" ht="15.75" customHeight="1">
      <c r="A57" s="1" t="s">
        <v>299</v>
      </c>
      <c r="B57" s="26">
        <f>B53-SUM(B54:B55)</f>
        <v>81033075.524943218</v>
      </c>
      <c r="C57" s="26">
        <f>C53-SUM(C54:C55)</f>
        <v>83003885.908354983</v>
      </c>
      <c r="D57" s="26">
        <f>D53-SUM(D54:D55)</f>
        <v>50529653.49933514</v>
      </c>
      <c r="H57" s="11"/>
      <c r="I57" s="11"/>
      <c r="J57" s="11"/>
      <c r="K57" s="11"/>
      <c r="L57" s="11"/>
      <c r="M57" s="11"/>
    </row>
    <row r="58" spans="1:14" ht="15.75" customHeight="1">
      <c r="A58" s="11" t="s">
        <v>121</v>
      </c>
      <c r="B58" s="201">
        <f>B57*Corporate_tax_rate</f>
        <v>0</v>
      </c>
      <c r="C58" s="201">
        <f>C57*Corporate_tax_rate</f>
        <v>0</v>
      </c>
      <c r="D58" s="201">
        <f>D57*Corporate_tax_rate</f>
        <v>0</v>
      </c>
      <c r="E58" s="11"/>
      <c r="H58" s="11"/>
      <c r="I58" s="11"/>
      <c r="J58" s="11"/>
      <c r="K58" s="11"/>
      <c r="L58" s="11"/>
      <c r="M58" s="11"/>
      <c r="N58" s="11"/>
    </row>
    <row r="59" spans="1:14" ht="15.75" customHeight="1">
      <c r="B59" s="26"/>
      <c r="C59" s="26"/>
      <c r="D59" s="26"/>
      <c r="H59" s="11"/>
      <c r="I59" s="11"/>
      <c r="J59" s="11"/>
      <c r="K59" s="11"/>
      <c r="L59" s="11"/>
      <c r="M59" s="11"/>
    </row>
    <row r="60" spans="1:14" ht="15.75" customHeight="1" thickBot="1">
      <c r="A60" s="1" t="s">
        <v>122</v>
      </c>
      <c r="B60" s="195">
        <f>B57</f>
        <v>81033075.524943218</v>
      </c>
      <c r="C60" s="195">
        <f>C57</f>
        <v>83003885.908354983</v>
      </c>
      <c r="D60" s="195">
        <f>D57</f>
        <v>50529653.49933514</v>
      </c>
      <c r="H60" s="11"/>
      <c r="I60" s="11"/>
      <c r="J60" s="11"/>
      <c r="K60" s="11"/>
      <c r="L60" s="11"/>
      <c r="M60" s="11"/>
    </row>
    <row r="61" spans="1:14" ht="15.75" customHeight="1" thickTop="1">
      <c r="A61" s="1"/>
      <c r="B61" s="26"/>
      <c r="C61" s="26"/>
      <c r="D61" s="26"/>
      <c r="H61" s="11"/>
      <c r="I61" s="11"/>
      <c r="J61" s="11"/>
      <c r="K61" s="11"/>
      <c r="L61" s="11"/>
      <c r="M61" s="11"/>
    </row>
    <row r="62" spans="1:14" ht="15.75" customHeight="1">
      <c r="A62" s="1" t="s">
        <v>123</v>
      </c>
      <c r="B62" s="26">
        <f>Y32+B60</f>
        <v>155904328.85827661</v>
      </c>
      <c r="C62" s="26">
        <f>B62+C60</f>
        <v>238908214.7666316</v>
      </c>
      <c r="D62" s="26">
        <f>C62+D60</f>
        <v>289437868.26596677</v>
      </c>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47"/>
  <sheetViews>
    <sheetView zoomScale="85" zoomScaleNormal="85" workbookViewId="0">
      <selection activeCell="H51" sqref="H51"/>
    </sheetView>
  </sheetViews>
  <sheetFormatPr defaultColWidth="12.7109375" defaultRowHeight="15" customHeight="1"/>
  <cols>
    <col min="1" max="1" width="36.85546875" style="2" customWidth="1"/>
    <col min="2" max="6" width="16.140625" style="2" bestFit="1" customWidth="1"/>
    <col min="7" max="16384" width="12.7109375" style="2"/>
  </cols>
  <sheetData>
    <row r="1" spans="1:7" ht="15" customHeight="1">
      <c r="A1" s="218" t="s">
        <v>207</v>
      </c>
      <c r="D1" s="213"/>
    </row>
    <row r="2" spans="1:7" ht="15" customHeight="1">
      <c r="A2" s="2" t="s">
        <v>124</v>
      </c>
      <c r="D2" s="213"/>
    </row>
    <row r="3" spans="1:7" ht="15" customHeight="1">
      <c r="A3" s="54" t="s">
        <v>210</v>
      </c>
      <c r="D3" s="213"/>
    </row>
    <row r="5" spans="1:7" ht="15" customHeight="1">
      <c r="B5" s="1" t="s">
        <v>103</v>
      </c>
      <c r="C5" s="1" t="s">
        <v>104</v>
      </c>
      <c r="D5" s="1" t="s">
        <v>90</v>
      </c>
      <c r="E5" s="1" t="s">
        <v>91</v>
      </c>
      <c r="F5" s="1" t="s">
        <v>92</v>
      </c>
    </row>
    <row r="6" spans="1:7" ht="15" customHeight="1">
      <c r="A6" s="2" t="s">
        <v>125</v>
      </c>
    </row>
    <row r="7" spans="1:7" ht="15" customHeight="1">
      <c r="A7" s="54" t="s">
        <v>126</v>
      </c>
    </row>
    <row r="8" spans="1:7" ht="15" customHeight="1">
      <c r="A8" s="2" t="s">
        <v>127</v>
      </c>
      <c r="B8" s="199">
        <f>'2c), 3) Cash Budgets, Y1-Y2'!M32</f>
        <v>10000000</v>
      </c>
      <c r="C8" s="199">
        <f>'2c), 3) Cash Budgets, Y1-Y2'!Y32</f>
        <v>146234019.0174371</v>
      </c>
      <c r="D8" s="199">
        <f>'2d) Cash Budgets, Y3-Y5'!B32</f>
        <v>231094646.42681921</v>
      </c>
      <c r="E8" s="199">
        <f>'2d) Cash Budgets, Y3-Y5'!C32</f>
        <v>317751064.88233852</v>
      </c>
      <c r="F8" s="199">
        <f>'2d) Cash Budgets, Y3-Y5'!D32</f>
        <v>371727346.40721881</v>
      </c>
    </row>
    <row r="9" spans="1:7" ht="15" customHeight="1">
      <c r="A9" s="11" t="s">
        <v>128</v>
      </c>
      <c r="B9" s="199">
        <f>'2a), 4) Inputs'!E6</f>
        <v>0</v>
      </c>
      <c r="C9" s="199">
        <f>Daily_demand_LNG_Y2*Selling_price_LNG_Y2</f>
        <v>2171772.7583846678</v>
      </c>
      <c r="D9" s="199">
        <f>(Daily_demand_LNG_Y2*Selling_price_LNG_Y2)*(Increment+Gas_demand_rate)*(Increment+Inflation_rate)</f>
        <v>2215371.0965092396</v>
      </c>
      <c r="E9" s="199">
        <f>(Daily_demand_LNG_Y2*Selling_price_LNG_Y2)*(Increment+Gas_demand_rate)*(Increment+Gas_demand_rate)*(Increment+Inflation_rate)*(Increment+Inflation_rate)</f>
        <v>2259844.6712716618</v>
      </c>
      <c r="F9" s="199">
        <f>(Daily_demand_LNG_Y2*Selling_price_LNG_Y2)*(Increment+Gas_demand_rate)*(Increment+Gas_demand_rate)*(Increment+Gas_demand_rate)*(Increment+Inflation_rate)*(Increment+Inflation_rate)*(Increment+Inflation_rate)</f>
        <v>2305211.05304744</v>
      </c>
      <c r="G9" s="11"/>
    </row>
    <row r="10" spans="1:7" ht="15" customHeight="1">
      <c r="A10" s="10" t="s">
        <v>129</v>
      </c>
      <c r="B10" s="209">
        <f>SUM(B8:B9)</f>
        <v>10000000</v>
      </c>
      <c r="C10" s="209">
        <f>SUM(C8:C9)</f>
        <v>148405791.77582178</v>
      </c>
      <c r="D10" s="209">
        <f>SUM(D8:D9)</f>
        <v>233310017.52332845</v>
      </c>
      <c r="E10" s="209">
        <f>SUM(E8:E9)</f>
        <v>320010909.55361021</v>
      </c>
      <c r="F10" s="209">
        <f>SUM(F8:F9)</f>
        <v>374032557.46026623</v>
      </c>
      <c r="G10" s="11"/>
    </row>
    <row r="11" spans="1:7" ht="15" customHeight="1">
      <c r="A11" s="212" t="s">
        <v>130</v>
      </c>
      <c r="B11" s="26"/>
      <c r="C11" s="26"/>
      <c r="D11" s="26"/>
      <c r="E11" s="26"/>
      <c r="F11" s="26"/>
    </row>
    <row r="12" spans="1:7" ht="15" customHeight="1">
      <c r="A12" s="2" t="s">
        <v>131</v>
      </c>
      <c r="B12" s="206">
        <f>'2a), 4) Inputs'!B18</f>
        <v>250000000</v>
      </c>
      <c r="C12" s="206">
        <f>'2a), 4) Inputs'!B18</f>
        <v>250000000</v>
      </c>
      <c r="D12" s="206">
        <f>'2a), 4) Inputs'!B18</f>
        <v>250000000</v>
      </c>
      <c r="E12" s="206">
        <f>'2a), 4) Inputs'!B18</f>
        <v>250000000</v>
      </c>
      <c r="F12" s="206">
        <f>'2a), 4) Inputs'!B18</f>
        <v>250000000</v>
      </c>
    </row>
    <row r="13" spans="1:7" ht="15" customHeight="1">
      <c r="A13" s="57" t="s">
        <v>132</v>
      </c>
      <c r="B13" s="210">
        <f>-'2b) Schedules'!R19</f>
        <v>0</v>
      </c>
      <c r="C13" s="208">
        <f>-'2b) Schedules'!R20</f>
        <v>-7666666.666666667</v>
      </c>
      <c r="D13" s="208">
        <f>-('2b) Schedules'!R20+'2b) Schedules'!R20)</f>
        <v>-15333333.333333334</v>
      </c>
      <c r="E13" s="208">
        <f>-('2b) Schedules'!R20+'2b) Schedules'!R20+'2b) Schedules'!R20)</f>
        <v>-23000000</v>
      </c>
      <c r="F13" s="208">
        <f>-('2b) Schedules'!R20+'2b) Schedules'!R20+'2b) Schedules'!R20+'2b) Schedules'!R20)</f>
        <v>-30666666.666666668</v>
      </c>
    </row>
    <row r="14" spans="1:7" ht="15" customHeight="1">
      <c r="A14" s="1" t="s">
        <v>133</v>
      </c>
      <c r="B14" s="56">
        <f>SUM(B12:B13)</f>
        <v>250000000</v>
      </c>
      <c r="C14" s="56">
        <f>SUM(C12:C13)</f>
        <v>242333333.33333334</v>
      </c>
      <c r="D14" s="56">
        <f>SUM(D12:D13)</f>
        <v>234666666.66666666</v>
      </c>
      <c r="E14" s="56">
        <f>SUM(E12:E13)</f>
        <v>227000000</v>
      </c>
      <c r="F14" s="56">
        <f>SUM(F12:F13)</f>
        <v>219333333.33333334</v>
      </c>
    </row>
    <row r="15" spans="1:7" ht="15" customHeight="1" thickBot="1">
      <c r="A15" s="1" t="s">
        <v>134</v>
      </c>
      <c r="B15" s="58">
        <f>B14+B10</f>
        <v>260000000</v>
      </c>
      <c r="C15" s="58">
        <f>C14+C10</f>
        <v>390739125.10915512</v>
      </c>
      <c r="D15" s="58">
        <f>D14+D10</f>
        <v>467976684.18999511</v>
      </c>
      <c r="E15" s="58">
        <f>E14+E10</f>
        <v>547010909.55361021</v>
      </c>
      <c r="F15" s="58">
        <f>F14+F10</f>
        <v>593365890.79359961</v>
      </c>
    </row>
    <row r="16" spans="1:7" ht="15" customHeight="1" thickTop="1">
      <c r="B16" s="26"/>
      <c r="C16" s="26"/>
      <c r="D16" s="26"/>
      <c r="E16" s="26"/>
      <c r="F16" s="26"/>
    </row>
    <row r="17" spans="1:7" ht="15" customHeight="1">
      <c r="A17" s="2" t="s">
        <v>135</v>
      </c>
      <c r="B17" s="12"/>
      <c r="C17" s="12"/>
      <c r="D17" s="12"/>
      <c r="E17" s="12"/>
      <c r="F17" s="12"/>
    </row>
    <row r="18" spans="1:7" ht="15" customHeight="1">
      <c r="A18" s="54" t="s">
        <v>136</v>
      </c>
      <c r="B18" s="12"/>
      <c r="C18" s="12"/>
      <c r="D18" s="12"/>
      <c r="E18" s="12"/>
      <c r="F18" s="12"/>
    </row>
    <row r="19" spans="1:7" ht="15" customHeight="1">
      <c r="A19" s="2" t="s">
        <v>137</v>
      </c>
      <c r="B19" s="206">
        <f>'2b) Schedules'!F6</f>
        <v>265200000</v>
      </c>
      <c r="C19" s="206">
        <f>'2b) Schedules'!F7</f>
        <v>260471457.70975301</v>
      </c>
      <c r="D19" s="206">
        <f>'2b) Schedules'!F8</f>
        <v>255553773.72789615</v>
      </c>
      <c r="E19" s="206">
        <f>'2b) Schedules'!F9</f>
        <v>250439382.386765</v>
      </c>
      <c r="F19" s="206">
        <f>'2b) Schedules'!F10</f>
        <v>245120415.39198861</v>
      </c>
    </row>
    <row r="20" spans="1:7" ht="15" customHeight="1">
      <c r="A20" s="2" t="s">
        <v>138</v>
      </c>
      <c r="B20" s="206">
        <f>'2a), 4) Inputs'!E6</f>
        <v>0</v>
      </c>
      <c r="C20" s="206">
        <f>(Daily_demand_LNG_Y2*'2a), 4) Inputs'!K16)*Purchase_cost_LNG</f>
        <v>52898179.329226553</v>
      </c>
      <c r="D20" s="206">
        <f>(Daily_demand_LNG_Y2*'2a), 4) Inputs'!K16*Purchase_cost_LNG)*(Increment+Gas_demand_rate)*(Increment+Inflation_rate)</f>
        <v>53960110.279260762</v>
      </c>
      <c r="E20" s="206">
        <f>(Daily_demand_LNG_Y2*'2a), 4) Inputs'!K16*Purchase_cost_LNG)*(Increment+Gas_demand_rate)*(Increment+Gas_demand_rate)*(Increment+Inflation_rate)*(Increment+Inflation_rate)</f>
        <v>55043359.493116915</v>
      </c>
      <c r="F20" s="206">
        <f>(Daily_demand_LNG_Y2*'2a), 4) Inputs'!K16*Purchase_cost_LNG)*(Increment+Gas_demand_rate)*(Increment+Gas_demand_rate)*(Increment+Gas_demand_rate)*(Increment+Inflation_rate)*(Increment+Inflation_rate)*(Increment+Inflation_rate)</f>
        <v>56148354.934941225</v>
      </c>
    </row>
    <row r="21" spans="1:7" ht="15" customHeight="1">
      <c r="A21" s="2" t="s">
        <v>139</v>
      </c>
      <c r="B21" s="206">
        <f>'2b) Schedules'!K15</f>
        <v>0</v>
      </c>
      <c r="C21" s="206">
        <f>((Port_fee*'2a), 4) Inputs'!H7)/Months_in_year)</f>
        <v>1998333.3333333333</v>
      </c>
      <c r="D21" s="206">
        <f>((Port_fee*'2a), 4) Inputs'!H8)/Months_in_year)*(Increment+Inflation_rate)</f>
        <v>2046916.6666666665</v>
      </c>
      <c r="E21" s="206">
        <f>((Port_fee*'2a), 4) Inputs'!H9)/Months_in_year)*(Increment+Inflation_rate)*(Increment+Inflation_rate)</f>
        <v>2096507.8749999995</v>
      </c>
      <c r="F21" s="206">
        <f>((Port_fee*'2a), 4) Inputs'!H10)/Months_in_year)*(Increment+Inflation_rate)*(Increment+Inflation_rate)*(Increment+Inflation_rate)</f>
        <v>2127955.4931249991</v>
      </c>
    </row>
    <row r="22" spans="1:7" ht="15" customHeight="1">
      <c r="A22" s="2" t="s">
        <v>140</v>
      </c>
      <c r="B22" s="206">
        <f>'2b) Schedules'!L15</f>
        <v>0</v>
      </c>
      <c r="C22" s="206">
        <f>((Operating_expense*'2a), 4) Inputs'!H7)/Months_in_year)</f>
        <v>363333.33333333331</v>
      </c>
      <c r="D22" s="206">
        <f>((Operating_expense*'2a), 4) Inputs'!H8)/Months_in_year)*(Increment+Inflation_rate)</f>
        <v>372166.66666666663</v>
      </c>
      <c r="E22" s="206">
        <f>((Operating_expense*'2a), 4) Inputs'!H9)/Months_in_year)*(Increment+Inflation_rate)*(Increment+Inflation_rate)</f>
        <v>381183.24999999988</v>
      </c>
      <c r="F22" s="206">
        <f>((Operating_expense*'2a), 4) Inputs'!H10)/Months_in_year)*(Increment+Inflation_rate)*(Increment+Inflation_rate)*(Increment+Inflation_rate)</f>
        <v>386900.99874999985</v>
      </c>
    </row>
    <row r="23" spans="1:7" ht="15" customHeight="1">
      <c r="A23" s="2" t="s">
        <v>141</v>
      </c>
      <c r="B23" s="206">
        <f>'2b) Schedules'!J15</f>
        <v>0</v>
      </c>
      <c r="C23" s="206">
        <f>((Tons_per_trip*Price_per_ton*'2a), 4) Inputs'!H7)/Months_in_year)</f>
        <v>82840</v>
      </c>
      <c r="D23" s="206">
        <f>((Price_per_ton*Tons_per_trip*'2a), 4) Inputs'!H8)/Months_in_year)*(Increment+Inflation_rate)</f>
        <v>84853.999999999985</v>
      </c>
      <c r="E23" s="206">
        <f>((Price_per_ton*Tons_per_trip*'2a), 4) Inputs'!H9)/Months_in_year)*(Increment+Inflation_rate)*(Increment+Inflation_rate)</f>
        <v>86909.780999999988</v>
      </c>
      <c r="F23" s="206">
        <f>((Price_per_ton*Tons_per_trip*'2a), 4) Inputs'!H10)/Months_in_year)*(Increment+Inflation_rate)*(Increment+Inflation_rate)*(Increment+Inflation_rate)</f>
        <v>88213.427714999983</v>
      </c>
    </row>
    <row r="24" spans="1:7" ht="15" customHeight="1">
      <c r="A24" s="2" t="s">
        <v>142</v>
      </c>
      <c r="B24" s="199">
        <f>'2b) Schedules'!K6</f>
        <v>0</v>
      </c>
      <c r="C24" s="199">
        <f>((Employee_contribution+Employer_contribution)*(Increment/Months_in_year))</f>
        <v>53728.070175438595</v>
      </c>
      <c r="D24" s="199">
        <f>(Employee_contribution+Employer_contribution)*(Increment/Months_in_year)*(Increment+Inflation_rate)</f>
        <v>54533.991228070168</v>
      </c>
      <c r="E24" s="199">
        <f>(Employee_contribution+Employer_contribution)*(Increment/Months_in_year)*(Increment+Inflation_rate)*(Increment+Inflation_rate)</f>
        <v>55352.001096491214</v>
      </c>
      <c r="F24" s="199">
        <f>(Employee_contribution+Employer_contribution)*(Increment/Months_in_year)*(Increment+Inflation_rate)*(Increment+Inflation_rate)*(Increment+Inflation_rate)</f>
        <v>56182.281112938574</v>
      </c>
    </row>
    <row r="25" spans="1:7" ht="15" customHeight="1">
      <c r="A25" s="211" t="s">
        <v>143</v>
      </c>
      <c r="B25" s="209">
        <f>SUM(B19:B24)</f>
        <v>265200000</v>
      </c>
      <c r="C25" s="209">
        <f>SUM(C19:C24)</f>
        <v>315867871.77582157</v>
      </c>
      <c r="D25" s="209">
        <f>SUM(D19:D24)</f>
        <v>312072355.33171833</v>
      </c>
      <c r="E25" s="209">
        <f>SUM(E19:E24)</f>
        <v>308102694.78697842</v>
      </c>
      <c r="F25" s="209">
        <f>SUM(F19:F24)</f>
        <v>303928022.52763271</v>
      </c>
      <c r="G25" s="11"/>
    </row>
    <row r="26" spans="1:7" ht="15" customHeight="1">
      <c r="A26" s="54" t="s">
        <v>144</v>
      </c>
      <c r="B26" s="26"/>
      <c r="C26" s="26"/>
      <c r="D26" s="26"/>
      <c r="E26" s="26"/>
      <c r="F26" s="26"/>
    </row>
    <row r="27" spans="1:7" ht="15" customHeight="1">
      <c r="A27" s="2" t="s">
        <v>145</v>
      </c>
      <c r="B27" s="208">
        <f>'2cd) Statements of Income Y1-Y5'!M32</f>
        <v>-5200000</v>
      </c>
      <c r="C27" s="208">
        <f>'2cd) Statements of Income Y1-Y5'!Y32</f>
        <v>74871253.333333403</v>
      </c>
      <c r="D27" s="208">
        <f>'2cd) Statements of Income Y1-Y5'!B62</f>
        <v>155904328.85827661</v>
      </c>
      <c r="E27" s="208">
        <f>'2cd) Statements of Income Y1-Y5'!C62</f>
        <v>238908214.7666316</v>
      </c>
      <c r="F27" s="208">
        <f>'2cd) Statements of Income Y1-Y5'!D62</f>
        <v>289437868.26596677</v>
      </c>
    </row>
    <row r="28" spans="1:7" ht="15" customHeight="1">
      <c r="A28" s="1" t="s">
        <v>146</v>
      </c>
      <c r="B28" s="56">
        <f>B27</f>
        <v>-5200000</v>
      </c>
      <c r="C28" s="56">
        <f>C27</f>
        <v>74871253.333333403</v>
      </c>
      <c r="D28" s="56">
        <f>D27</f>
        <v>155904328.85827661</v>
      </c>
      <c r="E28" s="56">
        <f>E27</f>
        <v>238908214.7666316</v>
      </c>
      <c r="F28" s="56">
        <f>F27</f>
        <v>289437868.26596677</v>
      </c>
    </row>
    <row r="29" spans="1:7" ht="15" customHeight="1" thickBot="1">
      <c r="A29" s="1" t="s">
        <v>147</v>
      </c>
      <c r="B29" s="59">
        <f>B25+B28</f>
        <v>260000000</v>
      </c>
      <c r="C29" s="59">
        <f>C25+C28</f>
        <v>390739125.10915494</v>
      </c>
      <c r="D29" s="59">
        <f>D25+D28</f>
        <v>467976684.18999493</v>
      </c>
      <c r="E29" s="59">
        <f>E25+E28</f>
        <v>547010909.55361009</v>
      </c>
      <c r="F29" s="59">
        <f>F25+F28</f>
        <v>593365890.79359949</v>
      </c>
    </row>
    <row r="30" spans="1:7" ht="15" customHeight="1" thickTop="1">
      <c r="B30" s="26"/>
      <c r="C30" s="26"/>
      <c r="D30" s="26"/>
      <c r="E30" s="26"/>
      <c r="F30" s="26"/>
    </row>
    <row r="31" spans="1:7" ht="15" customHeight="1">
      <c r="A31" s="1" t="s">
        <v>148</v>
      </c>
      <c r="B31" s="86">
        <f>B15-B29</f>
        <v>0</v>
      </c>
      <c r="C31" s="87">
        <f>C15-C29</f>
        <v>0</v>
      </c>
      <c r="D31" s="85">
        <f>D15-D29</f>
        <v>0</v>
      </c>
      <c r="E31" s="89">
        <f>E15-E29</f>
        <v>0</v>
      </c>
      <c r="F31" s="88">
        <f>F15-F29</f>
        <v>0</v>
      </c>
    </row>
    <row r="32" spans="1:7" ht="15" customHeight="1">
      <c r="B32" s="1"/>
      <c r="C32" s="1"/>
      <c r="D32" s="1"/>
      <c r="E32" s="1"/>
      <c r="F32" s="1"/>
    </row>
    <row r="34" spans="4:10" ht="15" customHeight="1">
      <c r="D34" s="52"/>
      <c r="E34" s="52"/>
    </row>
    <row r="36" spans="4:10" ht="15" customHeight="1">
      <c r="E36" s="52"/>
    </row>
    <row r="38" spans="4:10" ht="15" customHeight="1">
      <c r="E38" s="52"/>
      <c r="H38" s="52"/>
      <c r="I38" s="52"/>
      <c r="J38" s="52"/>
    </row>
    <row r="39" spans="4:10" ht="15" customHeight="1">
      <c r="H39" s="52"/>
      <c r="I39" s="52"/>
      <c r="J39" s="52"/>
    </row>
    <row r="47" spans="4:10" ht="15" customHeight="1">
      <c r="G47" s="52"/>
    </row>
  </sheetData>
  <conditionalFormatting sqref="B31:F31">
    <cfRule type="cellIs" dxfId="0" priority="1" operator="equal">
      <formula>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66</vt:i4>
      </vt:variant>
    </vt:vector>
  </HeadingPairs>
  <TitlesOfParts>
    <vt:vector size="75" baseType="lpstr">
      <vt:lpstr>Cover Page</vt:lpstr>
      <vt:lpstr>1) NPV Comparison</vt:lpstr>
      <vt:lpstr>Sheet1</vt:lpstr>
      <vt:lpstr>2a), 4) Inputs</vt:lpstr>
      <vt:lpstr>2b) Schedules</vt:lpstr>
      <vt:lpstr>2c), 3) Cash Budgets, Y1-Y2</vt:lpstr>
      <vt:lpstr>2d) Cash Budgets, Y3-Y5</vt:lpstr>
      <vt:lpstr>2cd) Statements of Income Y1-Y5</vt:lpstr>
      <vt:lpstr>2e) Statements of FP, Y1-Y5</vt:lpstr>
      <vt:lpstr>Annual_depreciation</vt:lpstr>
      <vt:lpstr>Annual_salary_base_costs</vt:lpstr>
      <vt:lpstr>Annual_salary_costs</vt:lpstr>
      <vt:lpstr>Bank_rate</vt:lpstr>
      <vt:lpstr>Capacity_per_trip</vt:lpstr>
      <vt:lpstr>Carbon_offset</vt:lpstr>
      <vt:lpstr>Carbon_offset_rate</vt:lpstr>
      <vt:lpstr>Corporate_tax_rate</vt:lpstr>
      <vt:lpstr>Daily_demand_LNG_Y2</vt:lpstr>
      <vt:lpstr>Days_in_year</vt:lpstr>
      <vt:lpstr>Deferred_year</vt:lpstr>
      <vt:lpstr>Depreciation_expense_Y1</vt:lpstr>
      <vt:lpstr>Development_cost</vt:lpstr>
      <vt:lpstr>Employee_contribution</vt:lpstr>
      <vt:lpstr>Employer_contribution</vt:lpstr>
      <vt:lpstr>First_year</vt:lpstr>
      <vt:lpstr>Gas_demand_rate</vt:lpstr>
      <vt:lpstr>General_maintenance</vt:lpstr>
      <vt:lpstr>Heavy_fuel_oil</vt:lpstr>
      <vt:lpstr>Increment</vt:lpstr>
      <vt:lpstr>Inflation_rate</vt:lpstr>
      <vt:lpstr>Insurance_expense</vt:lpstr>
      <vt:lpstr>Minimum_balance</vt:lpstr>
      <vt:lpstr>Months_in_year</vt:lpstr>
      <vt:lpstr>NPV__Rate_of_Financing</vt:lpstr>
      <vt:lpstr>NPV_Development_Time__Yr</vt:lpstr>
      <vt:lpstr>NPV_First_Year</vt:lpstr>
      <vt:lpstr>NPV_Gas_demand_rate</vt:lpstr>
      <vt:lpstr>NPV_Half_Year_Increment</vt:lpstr>
      <vt:lpstr>NPV_Increment</vt:lpstr>
      <vt:lpstr>NPV_LNG_Purchase_cost</vt:lpstr>
      <vt:lpstr>NPV_LNG_Selling_price</vt:lpstr>
      <vt:lpstr>NPV_Months_in_Year</vt:lpstr>
      <vt:lpstr>NPV_Rate_of_Inflation</vt:lpstr>
      <vt:lpstr>NPV_Rate_of_Inflation__Carbon_Offsets</vt:lpstr>
      <vt:lpstr>NPV_Weeks_in_Year</vt:lpstr>
      <vt:lpstr>NPV_Years_of_Operation</vt:lpstr>
      <vt:lpstr>Operating_expense</vt:lpstr>
      <vt:lpstr>Pipeline_Carbon_Offsets__Paid_monthly_on_15th</vt:lpstr>
      <vt:lpstr>Pipeline_Development_cost</vt:lpstr>
      <vt:lpstr>Pipeline_Increment</vt:lpstr>
      <vt:lpstr>Pipeline_Purchase_Price_Y2</vt:lpstr>
      <vt:lpstr>Pipeline_Rate_of_increase_in_demand</vt:lpstr>
      <vt:lpstr>Pipeline_Sale_Price_Y2</vt:lpstr>
      <vt:lpstr>Pipeline_Sales_Y2</vt:lpstr>
      <vt:lpstr>Pipeline_Salvage_Value_Y31</vt:lpstr>
      <vt:lpstr>Pipeline_Total_annual_cost_Y2</vt:lpstr>
      <vt:lpstr>Port_Damage_Expense</vt:lpstr>
      <vt:lpstr>Port_fee</vt:lpstr>
      <vt:lpstr>Price_per_ton</vt:lpstr>
      <vt:lpstr>Purchase_cost_LNG</vt:lpstr>
      <vt:lpstr>Quantity_demand_Y1</vt:lpstr>
      <vt:lpstr>Quantity_demand_Y2</vt:lpstr>
      <vt:lpstr>Quantity_demanded_Y1</vt:lpstr>
      <vt:lpstr>Salvage_value</vt:lpstr>
      <vt:lpstr>Selling_price_LNG_Y2</vt:lpstr>
      <vt:lpstr>Stores_and_lubricants</vt:lpstr>
      <vt:lpstr>Tanker_Daily_demand_Y2</vt:lpstr>
      <vt:lpstr>Tanker_Development_Cost</vt:lpstr>
      <vt:lpstr>Tanker_Quantity_demanded_Y2</vt:lpstr>
      <vt:lpstr>Tanker_Salvage_Value_Y31</vt:lpstr>
      <vt:lpstr>Tanker_Total_Annual_Cost_Y2</vt:lpstr>
      <vt:lpstr>Tons_per_trip</vt:lpstr>
      <vt:lpstr>Useful_life</vt:lpstr>
      <vt:lpstr>Weeks_in_year</vt:lpstr>
      <vt:lpstr>Y5_CO_Rate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uros03@student.ubc.ca</dc:creator>
  <cp:keywords/>
  <dc:description/>
  <cp:lastModifiedBy>edizon01@student.ubc.ca</cp:lastModifiedBy>
  <cp:revision/>
  <dcterms:created xsi:type="dcterms:W3CDTF">2026-02-05T09:43:14Z</dcterms:created>
  <dcterms:modified xsi:type="dcterms:W3CDTF">2026-03-23T03:08:04Z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0x010100043FF4F624421044B47088AF6E56783D</vt:lpwstr>
  </property>
</Properties>
</file>